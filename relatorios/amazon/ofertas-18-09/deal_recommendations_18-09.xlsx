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ruções aqui" r:id="rId3" sheetId="1"/>
    <sheet name="Definições de dados" r:id="rId4" sheetId="2"/>
    <sheet name="Modelo de recomendações de ofer" r:id="rId5" sheetId="3"/>
    <sheet name="ValidationDataSheet" r:id="rId6" sheetId="4" state="hidden"/>
    <sheet name="lookup" r:id="rId90" sheetId="5" state="hidden"/>
  </sheets>
  <definedNames>
    <definedName name="_xlnm._FilterDatabase" localSheetId="2" hidden="true">'Modelo de recomendações de ofer'!$A$4:$P$4</definedName>
    <definedName name="DropdownRange_0">ValidationDataSheet!$A$1:$A$2</definedName>
    <definedName name="DropdownRange_1">ValidationDataSheet!$B$1:$B$7</definedName>
    <definedName name="DropdownRange_2">ValidationDataSheet!$C$1:$C$9</definedName>
    <definedName name="DropdownRange_3">ValidationDataSheet!$D$1:$D$2</definedName>
    <definedName name="DropdownRange_4">ValidationDataSheet!$E$1:$E$2</definedName>
    <definedName name="DropdownRange_5">ValidationDataSheet!$F$1:$F$4</definedName>
    <definedName name="DropdownRange_6">ValidationDataSheet!$G$1:$G$4</definedName>
  </definedNames>
</workbook>
</file>

<file path=xl/sharedStrings.xml><?xml version="1.0" encoding="utf-8"?>
<sst xmlns="http://schemas.openxmlformats.org/spreadsheetml/2006/main" count="51664" uniqueCount="248">
  <si>
    <t>Instruções importantes sobre o modelo de recomendações de ofertas especiais</t>
  </si>
  <si>
    <t>1. Use este modelo pré-preenchido de recomendações de ofertas especiais para agendar ofertas especiais recomendadas pela Amazon, fornecendo apenas os atributos mínimos, como o agendamento da oferta especial. Recomendamos verificar os dados pré-preenchidos para garantir que você está criando ofertas especiais para os produtos e lojas corretos.
2. Você não pode criar ofertas especiais para produtos que estejam fora das recomendações de ofertas especiais da Amazon usando este modelo. Caso contrário, ocorrerão erros.
3. Com este modelo pré-preenchido, é possível agendar ofertas especiais para vários sites de uma só vez. Se houver recomendações de ofertas especiais para múltiplos sites, forneça as informações correspondentes nas colunas específicas de cada site.
4. As quatro primeiras colunas deste modelo são comuns a todos os sites. Elas são pré-preenchidas e servem apenas como referência. Pré-preenchemos para você os seguintes campos: “SKU” (identificador exclusivo do vendedor para um produto), “Participando”, “Preço do vendedor”, “Preço da Oferta especial” e “Unidades comprometidas”. “Agendamento de oferta especial” deve ser definido no nível da família de variações e não deve ser alterado.
5. O SKU (se vários códigos SKU estiverem disponíveis para um ASIN), “Participando”, “Agendamento”, “Data de início”, “Data de término”, “Preço da oferta especial” e “Unidades comprometidas” podem ser editados (destacados em verde). As demais colunas não são editáveis (destacadas em cinza). Todos os valores pré-preenchidos são gerados no momento do download do arquivo Excel e não serão atualizados em tempo real.
6. A data de início e a data de término podem ser configuradas apenas para Melhores ofertas. As datas devem ser contínuas, por exemplo, 1º de junho a 10 de junho. Atenção: não é possível configurar data de início e data de término para eventos específicos, por exemplo, Prime Day, nem para Ofertas relâmpago. Qualquer inclusão de datas será ignorada. 
7. O SKU (se vários códigos SKU estiverem disponíveis para um ASIN), “Participando”, “Agendamento”, “Preço da oferta especial” e “Unidades comprometidas” podem ser editados (destacados em verde). As demais colunas não são editáveis (destacadas em cinza). Todos os valores pré-preenchidos são gerados no momento do download do arquivo Excel e não serão atualizados em tempo real.
8. Quando o arquivo estiver pronto, faça o upload na página “Gerenciar em massa”.
9. Tarifas: a Amazon cobra tarifas para executar ofertas especiais em determinados países (EUA, Canadá, Reino Unido, Alemanha, França, Itália, Espanha e Japão). Se você decidir criar uma oferta especial em um país onde há cobrança de tarifa, será cobrado por cada Oferta Relâmpago ou Melhor oferta enviada e executada com sucesso. A tarifa é exibida durante o fluxo de trabalho de criação da oferta especial e pode ser visualizada na página Gerenciar ofertas especiais no Seller Central para cada oferta especial criada. Para obter mais informações sobre as tarifas de ofertas especiais, acesse nossa página de Ajuda https://sellercentral.amazon.com/help/hub/reference/G202111590</t>
  </si>
  <si>
    <t>Como usar este arquivo</t>
  </si>
  <si>
    <t>1. Consulte a guia “Definições de dados” neste arquivo para saber para que os atributos são usados, quais atributos são necessários, quais são os valores aceitáveis para cada atributo e as definições de dados. Ela contém a definição dos dados a serem fornecidos em cada uma das colunas.
2. Adicione suas informações somente na guia “Recomendações de oferta especial - Modelo”.
3. Menus suspensos: alguns campos têm menus suspensos com listas de valores válidos para escolher. Para alguns desses campos, você deve selecionar um valor no menu suspenso. Você não pode digitar seu próprio valor, mesmo que ele seja válido. Se receber um erro, limpe o campo e escolha um valor no menu suspenso. Você também pode editar as células realçadas em verde para fornecer seus próprios valores. 
4. Você deve fornecer um valor nas colunas obrigatórias para que suas ofertas especiais sejam processadas com êxito pela Amazon.
5. Campos cinza: alguns campos podem estar preenchidos com um fundo cinza. Você não precisa preencher esses campos, e isso pode gerar erros ao fazer upload desse arquivo. Eles servem apenas para sua referência.</t>
  </si>
  <si>
    <t>Informações importantes</t>
  </si>
  <si>
    <t>As recomendações de ofertas especiais são atualizadas toda segunda-feira. Para obter as recomendações mais recentes de produtos para agendamento de ofertas especiais, faça download de um novo arquivo sempre que for processar</t>
  </si>
  <si>
    <t>Dicas para evitar erros ao agendar ofertas</t>
  </si>
  <si>
    <t>1. Colunas: não duplique nem exclua colunas.
2. Renomear folhas ou guias: não faça isso, pois usamos os nomes para reconhecer diferentes tipos de informações.
3. Usar o Microsoft Excel: outros softwares podem não ser compatíveis com determinadas funcionalidades.
4. Copiar e colar: copiar e colar em uma coluna com um menu suspenso substitui a configuração do menu suspenso. Se você colar um valor que não está em um menu suspenso, isso poderá causar problemas ao fazer upload do arquivo.</t>
  </si>
  <si>
    <t>Como usar o Resumo de processamento para resolver erros</t>
  </si>
  <si>
    <t>1. É possível fazer download do resumo de processamento na página “Gerenciar em massa”, na guia Uploads, quando a opção de download estiver habilitada. O resumo de processamento contará com 4 guias: 1. Instruções 2. Definições de dados 3. Modelo de recomendações de ofertas especiais 4. Planilha de erros
2. Use o resumo de processamento para revisar primeiro a planilha de erros, que contém todos os códigos ASIN que não foram agendados para ofertas especiais, juntamente com o resumo dos erros. Códigos ASIN que não foram incluídos na planilha de erros foram enviados com sucesso (isso não significa necessariamente que foram criados).
3. A alteração de códigos ASIN que já estão agendados para ofertas especiais (ou que não aparecem na planilha de erros) não é permitida com este modelo. Para alterar esses códigos ASIN, acesse a página “Gerenciar ofertas especiais” no Seller Central.
4. O resumo de processamento pode ser usado como um arquivo de criação de ofertas especiais. Corrija os erros específicos dos códigos ASIN fazendo as alterações necessárias na guia “Modelo de recomendações de ofertas especiais”. Quando o arquivo estiver pronto, faça o upload pela página “Gerenciar em massa” para criar as ofertas especiais.</t>
  </si>
  <si>
    <t>Como preencher o modelo de recomendações de ofertas especiais</t>
  </si>
  <si>
    <t/>
  </si>
  <si>
    <t>Nome da coluna</t>
  </si>
  <si>
    <t>Definição e uso</t>
  </si>
  <si>
    <t>Valores aceitos</t>
  </si>
  <si>
    <t>Exemplo</t>
  </si>
  <si>
    <t>Obrigatório?</t>
  </si>
  <si>
    <t>ASIN em destaque</t>
  </si>
  <si>
    <t>Um ASIN em destaque é um ASIN disponível para compra representativo dentro de uma família de variações. No modelo, as famílias de variações são agrupadas no nível do ASIN em destaque e são destacadas com a cor cinza. Se não houver variação, o ASIN em destaque será o mesmo que o ASIN da oferta especial.</t>
  </si>
  <si>
    <t>Pré-preenchido apenas como referência. Nenhuma entrada necessária</t>
  </si>
  <si>
    <t>B007KQBXN0</t>
  </si>
  <si>
    <t>Não editável</t>
  </si>
  <si>
    <t>ASIN da oferta especial</t>
  </si>
  <si>
    <t>Um ASIN recomendado para oferta especial</t>
  </si>
  <si>
    <t>ASIN324</t>
  </si>
  <si>
    <t>Nome do produto</t>
  </si>
  <si>
    <t xml:space="preserve">Título do produto da Amazon para o ASIN recomendado </t>
  </si>
  <si>
    <t>Amazon Essentials Suéter masculino de algodão com zíper completo</t>
  </si>
  <si>
    <t>Tipo de oferta especial</t>
  </si>
  <si>
    <t>Especifique o tipo de oferta especial recomendada pela Amazon para o ASIN</t>
  </si>
  <si>
    <t>Melhores ofertas</t>
  </si>
  <si>
    <t>SKU</t>
  </si>
  <si>
    <t xml:space="preserve">Número do SKU (Unidade de manutenção de estoque) definido pelo vendedor. </t>
  </si>
  <si>
    <t>Pré-preenchido. Porém, se houver múltiplos códigos SKU para um ASIN, os valores de SKU poderão ser selecionados no menu suspenso</t>
  </si>
  <si>
    <t>SKU1234</t>
  </si>
  <si>
    <t>Obrigatório</t>
  </si>
  <si>
    <t>Participando</t>
  </si>
  <si>
    <t>O campo “Participando” determina se o ASIN será incluído nas ofertas especiais ou não</t>
  </si>
  <si>
    <t>Pré-preenchido como “Sim”. Se algum dos códigos ASIN precisar ser excluído do agendamento de ofertas especiais, selecione “Não” no menu suspenso</t>
  </si>
  <si>
    <t>Sim ou Não</t>
  </si>
  <si>
    <t>Agendamento</t>
  </si>
  <si>
    <t>Este campo indica o período em que a oferta especial está agendada para ser executada. O agendamento de ofertas especiais pode ser feito apenas no nível da família de variações, e os nomes de eventos serão destacados na semana correspondente, se aplicável</t>
  </si>
  <si>
    <t>Selecione um valor na lista suspensa</t>
  </si>
  <si>
    <t>Personalizado ou evento</t>
  </si>
  <si>
    <t>Data de início (AAAA-MM-DD)</t>
  </si>
  <si>
    <t>Este campo determina a data de início da oferta especial</t>
  </si>
  <si>
    <t xml:space="preserve">Insira a data de início no formato: AAAA-MM-DD dentro do intervalo especificado na coluna de agendamento. Melhores ofertas podem ser agendadas por no mínimo 1 dia e no máximo 14 dias. </t>
  </si>
  <si>
    <t>2025-06-21</t>
  </si>
  <si>
    <t>Data de término (AAAA-MM-DD)</t>
  </si>
  <si>
    <t>Esse campo determina a data de término da oferta especial</t>
  </si>
  <si>
    <t xml:space="preserve">Insira a data de término no formato: AAAA-MM-DD dentro do intervalo especificado na coluna de agendamento. Melhores ofertas podem ser agendadas por no mínimo 1 dia e no máximo 14 dias. </t>
  </si>
  <si>
    <t>2025-06-30</t>
  </si>
  <si>
    <t>Preço do vendedor</t>
  </si>
  <si>
    <t>Preço pelo qual você oferece o produto à venda.</t>
  </si>
  <si>
    <t>100</t>
  </si>
  <si>
    <t>Preço da Oferta especial</t>
  </si>
  <si>
    <t>O preço da Oferta especial para um ASIN é recomendado pela Amazon e calculado com base nos limites definidos para cada tipo de oferta especial</t>
  </si>
  <si>
    <t>Pré-preenchido. Revise os dados e altere, se necessário</t>
  </si>
  <si>
    <t>Unidades comprometidas</t>
  </si>
  <si>
    <t>Este campo especifica o número de unidades que você deseja vender pelo preço da Oferta especial. Este campo é obrigatório apenas para Ofertas Relâmpago, após o qual a oferta especial será desativada automaticamente.</t>
  </si>
  <si>
    <t>120</t>
  </si>
  <si>
    <t>Quantidade do vendedor</t>
  </si>
  <si>
    <t>Contagem atual de inventário do ASIN recomendado para a oferta especial, considerando o canal de logística. O valor é gerado no momento do download e não é atualizado em tempo real</t>
  </si>
  <si>
    <t>80</t>
  </si>
  <si>
    <t>Detalhes do produto</t>
  </si>
  <si>
    <t>ASIN parent</t>
  </si>
  <si>
    <t>Brasil (BR)</t>
  </si>
  <si>
    <t>ID da recomendação</t>
  </si>
  <si>
    <t>Preço do vendedor (BRL)</t>
  </si>
  <si>
    <t>Preço da Oferta especial (BRL)</t>
  </si>
  <si>
    <t>URL da imagem</t>
  </si>
  <si>
    <t>parent_asin</t>
  </si>
  <si>
    <t>featured_asin</t>
  </si>
  <si>
    <t>deal_asin</t>
  </si>
  <si>
    <t>product_name</t>
  </si>
  <si>
    <t>deal_type</t>
  </si>
  <si>
    <t>marketplace_id@A2Q3Y263D00KWC.recommendation_id</t>
  </si>
  <si>
    <t>marketplace_id@A2Q3Y263D00KWC.sku</t>
  </si>
  <si>
    <t>marketplace_id@A2Q3Y263D00KWC.participating</t>
  </si>
  <si>
    <t>marketplace_id@A2Q3Y263D00KWC.schedule</t>
  </si>
  <si>
    <t>marketplace_id@A2Q3Y263D00KWC.start_date</t>
  </si>
  <si>
    <t>marketplace_id@A2Q3Y263D00KWC.end_date</t>
  </si>
  <si>
    <t>marketplace_id@A2Q3Y263D00KWC.seller_price</t>
  </si>
  <si>
    <t>marketplace_id@A2Q3Y263D00KWC.deal_price</t>
  </si>
  <si>
    <t>marketplace_id@A2Q3Y263D00KWC.committed_units</t>
  </si>
  <si>
    <t>marketplace_id@A2Q3Y263D00KWC.seller_quantity</t>
  </si>
  <si>
    <t>marketplace_id@A2Q3Y263D00KWC.image_url</t>
  </si>
  <si>
    <t>Instruções: preencha este modelo em INGLÊS. NÃO modifique ou exclua as linhas de cabeçalho. Não use modelos antigos nem faça download de um novo arquivo para obter recomendações atualizadas de ASIN</t>
  </si>
  <si>
    <t>{locale:"pt-BR",types:{'Melhor oferta':"BEST_DEAL",'Oferta Relâmpago':"LIGHTNING_DEAL"},marketplaces:{A2Q3Y263D00KWC:526970},schedules:{'A2Q3Y263D00KWC-Mega Ofertas Prime Day (2026-10-05 - 2026-10-11)':{start_date:"2026-10-05",end_date:"2026-10-11",event_id:"amzn1.ww-events.subEvent.v1.b4f8ebc6-f9b2-48f1-a3ed-1cb9e6399daf",event_name:"Prime Big Deal Days/2026/BR"},'A2Q3Y263D00KWC-Black Friday e Cyber Monday (2026-11-19 - 2026-11-30)':{start_date:"2026-11-19",end_date:"2026-11-30",event_id:"amzn1.ww-events.subEvent.v1.a5cbc632-14e3-46e9-8151-d86d91d52f51",event_name:"Black Friday/2026/BR"},'A2Q3Y263D00KWC-seg. (2026-09-21 - 2026-09-27)':{start_date:"2026-09-21",end_date:"2026-09-27"},'A2Q3Y263D00KWC-seg. (2026-09-28 - 2026-10-04)':{start_date:"2026-09-28",end_date:"2026-10-04"},'A2Q3Y263D00KWC-seg. (2026-10-12 - 2026-10-18)':{start_date:"2026-10-12",end_date:"2026-10-18"},'A2Q3Y263D00KWC-seg. (2026-10-19 - 2026-10-25)':{start_date:"2026-10-19",end_date:"2026-10-25"},'A2Q3Y263D00KWC-seg. (2026-10-26 - 2026-11-01)':{start_date:"2026-10-26",end_date:"2026-11-01"},'A2Q3Y263D00KWC-seg. (2026-11-02 - 2026-11-08)':{start_date:"2026-11-02",end_date:"2026-11-08"},'A2Q3Y263D00KWC-seg. (2026-11-09 - 2026-11-15)':{start_date:"2026-11-09",end_date:"2026-11-15"}},lookup:{schedule:[{schedule:"Personalizado - (2026-09-21 - 2026-10-04)",start_date:"2026-09-21",end_date:"2026-10-04"},{schedule:"Personalizado - (2026-10-12 - 2026-11-17)",start_date:"2026-10-12",end_date:"2026-10-25"},{schedule:"Mega Ofertas Prime Day (2026-10-05 - 2026-10-11)",start_date:"N/A",end_date:"N/A"},{schedule:"Black Friday e Cyber Monday (2026-11-19 - 2026-11-30)",start_date:"N/A",end_date:"N/A"},{schedule:"seg. (2026-09-21 - 2026-09-27)",start_date:"N/A",end_date:"N/A"},{schedule:"seg. (2026-09-28 - 2026-10-04)",start_date:"N/A",end_date:"N/A"},{schedule:"Mega Ofertas Prime Day (2026-10-05 - 2026-10-11)",start_date:"N/A",end_date:"N/A"},{schedule:"seg.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(2026-11-09 - 2026-11-15)",start_date:"N/A",end_date:"N/A"},{schedule:"Black Friday e Cyber Monday (2026-11-19 - 2026-11-30)",start_date:"N/A",end_date:"N/A"},{schedule:"Personalizado - (2026-09-19 - 2026-10-04)",start_date:"2026-09-19",end_date:"2026-10-02"},{schedule:"Personalizado - (2026-10-12 - 2026-11-17)",start_date:"2026-10-12",end_date:"2026-10-25"},{schedule:"Mega Ofertas Prime Day (2026-10-05 - 2026-10-11)",start_date:"N/A",end_date:"N/A"},{schedule:"Black Friday e Cyber Monday (2026-11-19 - 2026-11-30)",start_date:"N/A",end_date:"N/A"},{schedule:"seg. (2026-09-21 - 2026-09-27)",start_date:"N/A",end_date:"N/A"},{schedule:"seg. (2026-09-28 - 2026-10-04)",start_date:"N/A",end_date:"N/A"},{schedule:"Mega Ofertas Prime Day (2026-10-05 - 2026-10-11)",start_date:"N/A",end_date:"N/A"},{schedule:"seg.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(2026-11-09 - 2026-11-15)",start_date:"N/A",end_date:"N/A"},{schedule:"Black Friday e Cyber Monday (2026-11-19 - 2026-11-30)",start_date:"N/A",end_date:"N/A"},{schedule:"Personalizado - (2026-09-21 - 2026-10-04)",start_date:"2026-09-21",end_date:"2026-10-04"},{schedule:"Personalizado - (2026-10-12 - 2026-11-17)",start_date:"2026-10-12",end_date:"2026-10-25"},{schedule:"Mega Ofertas Prime Day (2026-10-05 - 2026-10-11)",start_date:"N/A",end_date:"N/A"},{schedule:"Black Friday e Cyber Monday (2026-11-19 - 2026-11-30)",start_date:"N/A",end_date:"N/A"},{schedule:"seg. (2026-09-21 - 2026-09-27)",start_date:"N/A",end_date:"N/A"},{schedule:"seg. (2026-09-28 - 2026-10-04)",start_date:"N/A",end_date:"N/A"},{schedule:"Mega Ofertas Prime Day (2026-10-05 - 2026-10-11)",start_date:"N/A",end_date:"N/A"},{schedule:"seg.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(2026-11-09 - 2026-11-15)",start_date:"N/A",end_date:"N/A"},{schedule:"Black Friday e Cyber Monday (2026-11-19 - 2026-11-30)",start_date:"N/A",end_date:"N/A"},{schedule:"Personalizado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(2026-09-19 - 2026-10-04)",start_date:"2026-09-19",end_date:"2026-10-02"},{schedule:"Personalizado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(2026-11-09 - 2026-11-15)",start_date:"N/A",end_date:"N/A"},{schedule:"Personalizado - (2026-09-21 - 2026-10-04)",start_date:"2026-09-21",end_date:"2026-10-04"},{schedule:"Personalizado - (2026-10-12 - 2026-11-17)",start_date:"2026-10-12",end_date:"2026-10-25"},{schedule:"seg. (2026-09-21 - 2026-09-27)",start_date:"N/A",end_date:"N/A"},{schedule:"seg. (2026-09-28 - 2026-10-04)",start_date:"N/A",end_date:"N/A"},{schedule:"seg. (2026-10-12 - 2026-10-18)",start_date:"N/A",end_date:"N/A"},{schedule:"seg. (2026-10-19 - 2026-10-25)",start_date:"N/A",end_date:"N/A"},{schedule:"seg. (2026-10-26 - 2026-11-01)",start_date:"N/A",end_date:"N/A"},{schedule:"seg. (2026-11-02 - 2026-11-08)",start_date:"N/A",end_date:"N/A"},{schedule:"seg. (2026-11-09 - 2026-11-15)",start_date:"N/A",end_date:"N/A"}]},transformationConfigVersion:"2.0",bulkDocumentId:"f43077d7-0bc1-4fc3-bbd8-7971b0f430f5",boolean_value:{'Sim,Não':"true",'Não':"false"}}</t>
  </si>
  <si>
    <t>B0H62YWD84</t>
  </si>
  <si>
    <t>Lixeira Aro Meia Lua em Aço Inox 25 Litros 24x50 cm Prateada para Uso Interno</t>
  </si>
  <si>
    <t>Oferta Relâmpago</t>
  </si>
  <si>
    <t>Sim,Não</t>
  </si>
  <si>
    <t>L2450-AML</t>
  </si>
  <si>
    <t>https://m.media-amazon.com/images/I/216MZD3qQZL._SY500_.jpg</t>
  </si>
  <si>
    <t>seg. (2026-09-21 - 2026-09-27),seg. (2026-09-28 - 2026-10-04),seg. (2026-10-12 - 2026-10-18),seg. (2026-10-19 - 2026-10-25),seg. (2026-10-26 - 2026-11-01),seg. (2026-11-02 - 2026-11-08),seg. (2026-11-09 - 2026-11-15)</t>
  </si>
  <si>
    <t>N/A</t>
  </si>
  <si>
    <t>0565a690-94bc-4526-82e6-9b7cf4fe97f7</t>
  </si>
  <si>
    <t>schedule</t>
  </si>
  <si>
    <t>start_date</t>
  </si>
  <si>
    <t>end_date</t>
  </si>
  <si>
    <t>Personalizado - (2026-09-21 - 2026-10-04)</t>
  </si>
  <si>
    <t>2026-09-21</t>
  </si>
  <si>
    <t>2026-10-04</t>
  </si>
  <si>
    <t>Personalizado - (2026-10-12 - 2026-11-17)</t>
  </si>
  <si>
    <t>2026-10-12</t>
  </si>
  <si>
    <t>2026-10-25</t>
  </si>
  <si>
    <t>Mega Ofertas Prime Day (2026-10-05 - 2026-10-11)</t>
  </si>
  <si>
    <t>Black Friday e Cyber Monday (2026-11-19 - 2026-11-30)</t>
  </si>
  <si>
    <t>seg. (2026-09-21 - 2026-09-27)</t>
  </si>
  <si>
    <t>seg. (2026-09-28 - 2026-10-04)</t>
  </si>
  <si>
    <t>seg. (2026-10-12 - 2026-10-18)</t>
  </si>
  <si>
    <t>seg. (2026-10-19 - 2026-10-25)</t>
  </si>
  <si>
    <t>seg. (2026-10-26 - 2026-11-01)</t>
  </si>
  <si>
    <t>seg. (2026-11-02 - 2026-11-08)</t>
  </si>
  <si>
    <t>seg. (2026-11-09 - 2026-11-15)</t>
  </si>
  <si>
    <t>Personalizado - (2026-09-19 - 2026-10-04)</t>
  </si>
  <si>
    <t>2026-09-19</t>
  </si>
  <si>
    <t>2026-10-02</t>
  </si>
  <si>
    <t>B0H4S7ZKXS</t>
  </si>
  <si>
    <t>Suporte de Chão para Extintor de Incêndio de 4 kg em Aço Inox 16x31 cm Redondo Porta Extintor</t>
  </si>
  <si>
    <t>PXP</t>
  </si>
  <si>
    <t>https://m.media-amazon.com/images/I/31szo6GhQgL._SY500_.jpg</t>
  </si>
  <si>
    <t>seg. (2026-09-21 - 2026-09-27),seg. (2026-09-28 - 2026-10-04),Mega Ofertas Prime Day (2026-10-05 - 2026-10-11),seg. (2026-10-12 - 2026-10-18),seg. (2026-10-19 - 2026-10-25),seg. (2026-10-26 - 2026-11-01),seg. (2026-11-02 - 2026-11-08),seg. (2026-11-09 - 2026-11-15),Black Friday e Cyber Monday (2026-11-19 - 2026-11-30)</t>
  </si>
  <si>
    <t>056add31-78ca-48de-8724-faee946ae314</t>
  </si>
  <si>
    <t>B0H5MDZQDG</t>
  </si>
  <si>
    <t>Porta Guarda-Chuva em Aço Inox 24x60 cm Suporte para Guarda Chuvas Recepção e Escritório</t>
  </si>
  <si>
    <t>PG2460</t>
  </si>
  <si>
    <t>https://m.media-amazon.com/images/I/31ZWSEN+zkL._SY500_.jpg</t>
  </si>
  <si>
    <t>0668192f-a93a-487d-aeb0-d24c7d81df23</t>
  </si>
  <si>
    <t>B0H4NLBG1Y</t>
  </si>
  <si>
    <t>Lixeira de Aço Inox com Pedal 50 Litros 30x60 cm Redonda Prateada para Cozinha Escritório</t>
  </si>
  <si>
    <t>P3060</t>
  </si>
  <si>
    <t>https://m.media-amazon.com/images/I/31jQoSZbwzL._SY500_.jpg</t>
  </si>
  <si>
    <t>0ad4ab32-5069-421f-86da-3822384717b7</t>
  </si>
  <si>
    <t>B0H4S3FHG6</t>
  </si>
  <si>
    <t>Suporte de Chão para Extintor de Incêndio de 6 kg em Aço Inox 20x50 cm Porta Extintor Áreas Internas</t>
  </si>
  <si>
    <t>Melhor oferta</t>
  </si>
  <si>
    <t>PXM</t>
  </si>
  <si>
    <t>https://m.media-amazon.com/images/I/31L9xqI716L._SY500_.jpg</t>
  </si>
  <si>
    <t>Personalizado - (2026-09-21 - 2026-10-04),Personalizado - (2026-10-12 - 2026-11-17)</t>
  </si>
  <si>
    <t>0f8c5d5b-77c7-4983-885b-8d4e0204e607</t>
  </si>
  <si>
    <t>B0H77661G6</t>
  </si>
  <si>
    <t>Lixeira de Aço Inox com Tampa 10 Litros 20x30 cm para Banheiro Cozinha Escritório</t>
  </si>
  <si>
    <t>L2030-T</t>
  </si>
  <si>
    <t>https://m.media-amazon.com/images/I/21y-2KvVNOL._SY500_.jpg</t>
  </si>
  <si>
    <t>1c49bb7c-53c6-45a1-b384-8ee98cb9e716</t>
  </si>
  <si>
    <t>B0H6NM3QBS</t>
  </si>
  <si>
    <t>Lixeira Aro Meia Lua em Aço Inox 27 Litros 24x60 centímetros Prateada para Uso Interno</t>
  </si>
  <si>
    <t>L2460-AML</t>
  </si>
  <si>
    <t>https://m.media-amazon.com/images/I/210BE3fX1lL._SY500_.jpg</t>
  </si>
  <si>
    <t>26abf08a-7c9d-4f0d-abf1-f940d11e25fc</t>
  </si>
  <si>
    <t>B0H6365DBF</t>
  </si>
  <si>
    <t>Lixeira de Aço Inox com Pedal 40 Litros 30x50 cm Redonda para Cozinha Escritório Clínica</t>
  </si>
  <si>
    <t>P3050</t>
  </si>
  <si>
    <t>https://m.media-amazon.com/images/I/21Nt4J3-89L._SY500_.jpg</t>
  </si>
  <si>
    <t>29a4c9ca-ec0d-4a3b-8159-d44afa1a0091</t>
  </si>
  <si>
    <t>B0H6C5CTSC</t>
  </si>
  <si>
    <t>Lixeira de Aço Inox com Tampa 7 Litros 20x25 cm Redonda Prateada para Banheiro e Cozinha</t>
  </si>
  <si>
    <t>L2025-T</t>
  </si>
  <si>
    <t>https://m.media-amazon.com/images/I/31iNT3GiS2L._SY500_.jpg</t>
  </si>
  <si>
    <t>2ce7ff1b-d246-4d87-ba2c-d3b48a3f8e59</t>
  </si>
  <si>
    <t>B0H4WLDNYD</t>
  </si>
  <si>
    <t>Ensacador de Guarda-Chuva em Aço Inox com 150 Saquinhos Plásticos para Uso Interno</t>
  </si>
  <si>
    <t>EGC</t>
  </si>
  <si>
    <t>https://m.media-amazon.com/images/I/21CFp3GBVTL._SY500_.jpg</t>
  </si>
  <si>
    <t>32aa0728-c606-4021-ad84-94d341c59677</t>
  </si>
  <si>
    <t>B0H6KY3BZD</t>
  </si>
  <si>
    <t>Lixeira Basculante em Aço Inox Redonda 15 Litros 24x30 cm Vai e Vem para Uso Interno</t>
  </si>
  <si>
    <t>L2430-B</t>
  </si>
  <si>
    <t>https://m.media-amazon.com/images/I/31BC7iEz6kL._SY500_.jpg</t>
  </si>
  <si>
    <t>35056f5e-678a-423d-ba29-e64089f6f230</t>
  </si>
  <si>
    <t>425bde2b-2a30-483a-a8ad-9410df1ca940</t>
  </si>
  <si>
    <t>49f783e7-abc0-4765-9d63-977331beb3d0</t>
  </si>
  <si>
    <t>533df20a-31e0-4368-8982-a5e4e585b48f</t>
  </si>
  <si>
    <t>B0H63W8G49</t>
  </si>
  <si>
    <t>Lixeira Inox com Pedal 100 Litros 40x80 cm Aço 430 Polido Cilíndrica para Cozinha e Uso Profissional</t>
  </si>
  <si>
    <t>P4080</t>
  </si>
  <si>
    <t>https://m.media-amazon.com/images/I/31mnDZUgE6L._SY500_.jpg</t>
  </si>
  <si>
    <t>Personalizado - (2026-09-19 - 2026-10-04),Personalizado - (2026-10-12 - 2026-11-17)</t>
  </si>
  <si>
    <t>58581e2e-e12f-4543-8da9-36c6e2a69062</t>
  </si>
  <si>
    <t>B0H4X46QCC</t>
  </si>
  <si>
    <t>Coletor de Pilhas e Baterias Usadas Aço Inox 27 Litros 24x60 cm Papa Pilhas para Empresas</t>
  </si>
  <si>
    <t>L2460-CP</t>
  </si>
  <si>
    <t>https://m.media-amazon.com/images/I/31YvtaVBybL._SY500_.jpg</t>
  </si>
  <si>
    <t>5adf50b7-febe-452d-9d74-34adcc4501f5</t>
  </si>
  <si>
    <t>B0H6KN61XR</t>
  </si>
  <si>
    <t>Lixeira Basculante em Aço Inox 50 Litros 30x70 cm Redonda Tampa Vai e Vem Cozinha Comércio</t>
  </si>
  <si>
    <t>L3070-B</t>
  </si>
  <si>
    <t>https://m.media-amazon.com/images/I/31JzRye3yRL._SY500_.jpg</t>
  </si>
  <si>
    <t>5b3df293-82a8-4c7f-a5b8-fbd3e07df3f3</t>
  </si>
  <si>
    <t>B0H63FKGPJ</t>
  </si>
  <si>
    <t>Lixeira Inox 60 Litros com Tampa Pedal 30x70 centímetros Redonda Aço Inox 430 Polido</t>
  </si>
  <si>
    <t>P3070</t>
  </si>
  <si>
    <t>https://m.media-amazon.com/images/I/316HeuzJT1L._SY500_.jpg</t>
  </si>
  <si>
    <t>616153cc-db01-4108-9ea4-9d919a8162a6</t>
  </si>
  <si>
    <t>770edcd3-308e-4a96-bde5-183281bbd304</t>
  </si>
  <si>
    <t>B0H3QQLFFY</t>
  </si>
  <si>
    <t>Lixeira de Aço Inox com Tampa 3 Litros 16x18 cm Redonda para Pia Cozinha e Banheiro</t>
  </si>
  <si>
    <t>L1618-T</t>
  </si>
  <si>
    <t>https://m.media-amazon.com/images/I/213n+i186pL._SY500_.jpg</t>
  </si>
  <si>
    <t>7849b854-1680-4ef4-ab34-778c6ba46a4a</t>
  </si>
  <si>
    <t>78d20626-b700-4b65-82ee-3a04a8063217</t>
  </si>
  <si>
    <t>B0H7ZGZ8DK</t>
  </si>
  <si>
    <t>Lixeira Aro Quadrada em Aço Inox 100 Litros 40x70 centímetros com Tampa e Aro Removível</t>
  </si>
  <si>
    <t>Q4070-A</t>
  </si>
  <si>
    <t>https://m.media-amazon.com/images/I/31rgjn+sexL._SY500_.jpg</t>
  </si>
  <si>
    <t>7b478de6-14de-4eaa-9386-630af8e9fdaa</t>
  </si>
  <si>
    <t>Personalizado - (2026-09-21 - 2026-10-04),Personalizado - (2026-10-12 - 2026-11-17),Mega Ofertas Prime Day (2026-10-05 - 2026-10-11),Black Friday e Cyber Monday (2026-11-19 - 2026-11-30)</t>
  </si>
  <si>
    <t>806bfa5a-cd69-4856-959b-ea282e8cf20d</t>
  </si>
  <si>
    <t>a5fd4682-cb81-45ce-8931-bdd4a322a01e</t>
  </si>
  <si>
    <t>a628fd51-7278-43e6-af88-2ff880ac053c</t>
  </si>
  <si>
    <t>b388ead0-841e-4742-9609-6dc7630678e9</t>
  </si>
  <si>
    <t>b8d874c2-c565-4dcb-ba23-a1498d8c1677</t>
  </si>
  <si>
    <t>B0H6CCHT65</t>
  </si>
  <si>
    <t>Lixeira em Aço Inox 10 Litros 20x30 cm Redonda Sem Tampa para Pia Banheiro e Cozinha</t>
  </si>
  <si>
    <t>L2030</t>
  </si>
  <si>
    <t>https://m.media-amazon.com/images/I/31H28CUJGaL._SY500_.jpg</t>
  </si>
  <si>
    <t>b99290d1-f5d4-44cb-9995-e75d1a7d7879</t>
  </si>
  <si>
    <t>B0H51PF33S</t>
  </si>
  <si>
    <t>Lixeira Basculante Redonda em Aço Inox 60 Litros 30x85 centímetros Prateada Vai e Vem</t>
  </si>
  <si>
    <t>L3085-B</t>
  </si>
  <si>
    <t>https://m.media-amazon.com/images/I/218pYgz5KnL._SY500_.jpg</t>
  </si>
  <si>
    <t>c75a2598-a8d4-442f-b114-1ec22bf2d98a</t>
  </si>
  <si>
    <t>cde68486-17de-4a22-993d-ccce617e8b5d</t>
  </si>
  <si>
    <t>B0H4RV67FF</t>
  </si>
  <si>
    <t>Lixeira Basculante Inox Redonda 10 Litros 20x30 cm para Banheiro Lavabo Cozinha Escritório</t>
  </si>
  <si>
    <t>L2030-B</t>
  </si>
  <si>
    <t>https://m.media-amazon.com/images/I/21NMhgg0wJL._SY500_.jpg</t>
  </si>
  <si>
    <t>d1262f90-6d83-428c-9770-6534b0553e8a</t>
  </si>
  <si>
    <t>d71ae4bb-4a55-446b-ab75-91a8d0422f32</t>
  </si>
  <si>
    <t>d7b2b6ce-e08a-48ae-8e6a-abc71479b392</t>
  </si>
  <si>
    <t>d8b18fe3-8c83-431b-ad4d-2daa72e52824</t>
  </si>
  <si>
    <t>ddca5375-68af-4ac9-bcd0-d306401c3e58</t>
  </si>
  <si>
    <t>e18d648d-e7f0-4288-b43e-926e2eb314ab</t>
  </si>
  <si>
    <t>B0H51P391G</t>
  </si>
  <si>
    <t>Lixeira Aro Quadrada em Aço Inox 50 Litros 30x60 centímetros Prateada para Uso Interno</t>
  </si>
  <si>
    <t>Q3060-A</t>
  </si>
  <si>
    <t>https://m.media-amazon.com/images/I/21KfwqE8r3L._SY500_.jpg</t>
  </si>
  <si>
    <t>e26add82-86fa-40a1-803a-0e5c9f37dcc7</t>
  </si>
  <si>
    <t>e5c0b530-41da-4c24-8597-86f4b1024f7f</t>
  </si>
  <si>
    <t>ea0addbc-cf4d-42c8-b905-c98acdc62d67</t>
  </si>
  <si>
    <t>eb1519a8-6a77-49f5-9ebd-3b658d98650e</t>
  </si>
  <si>
    <t>fc22c22b-90ad-4e30-8fec-8c9dea7fd142</t>
  </si>
  <si>
    <t>Personalizado - (2026-09-19 - 2026-10-04),Personalizado - (2026-10-12 - 2026-11-17),Mega Ofertas Prime Day (2026-10-05 - 2026-10-11),Black Friday e Cyber Monday (2026-11-19 - 2026-11-30)</t>
  </si>
  <si>
    <t>feb02d29-6cec-4a23-b42f-e2191e0dab07</t>
  </si>
  <si>
    <t>Sim</t>
  </si>
  <si>
    <t>Não</t>
  </si>
</sst>
</file>

<file path=xl/styles.xml><?xml version="1.0" encoding="utf-8"?>
<styleSheet xmlns="http://schemas.openxmlformats.org/spreadsheetml/2006/main">
  <numFmts count="1">
    <numFmt numFmtId="164" formatCode="yyyy-MM-dd"/>
  </numFmts>
  <fonts count="5">
    <font>
      <sz val="11.0"/>
      <color indexed="8"/>
      <name val="Calibri"/>
      <family val="2"/>
      <scheme val="minor"/>
    </font>
    <font>
      <name val="Calibri"/>
      <sz val="13.0"/>
      <b val="true"/>
    </font>
    <font>
      <name val="Calibri"/>
      <sz val="13.0"/>
      <b val="true"/>
    </font>
    <font>
      <name val="Calibri"/>
      <sz val="13.0"/>
      <b val="true"/>
    </font>
    <font>
      <name val="Calibri"/>
      <sz val="13.0"/>
      <b val="true"/>
    </font>
  </fonts>
  <fills count="7">
    <fill>
      <patternFill patternType="none"/>
    </fill>
    <fill>
      <patternFill patternType="darkGray"/>
    </fill>
    <fill>
      <patternFill patternType="solid"/>
    </fill>
    <fill>
      <patternFill patternType="solid">
        <fgColor rgb="FFF2F2F2"/>
      </patternFill>
    </fill>
    <fill>
      <patternFill patternType="solid">
        <fgColor rgb="FFD9D9D9"/>
      </patternFill>
    </fill>
    <fill>
      <patternFill patternType="solid">
        <fgColor rgb="FFE4EEDC"/>
      </patternFill>
    </fill>
    <fill>
      <patternFill/>
    </fill>
  </fills>
  <borders count="24">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55"/>
      </bottom>
    </border>
    <border>
      <left style="thin">
        <color indexed="55"/>
      </left>
      <right style="thin"/>
      <top style="thin"/>
      <bottom style="thin">
        <color indexed="55"/>
      </bottom>
    </border>
    <border>
      <left style="thin">
        <color indexed="55"/>
      </left>
      <right style="thin">
        <color indexed="55"/>
      </right>
      <top style="thin"/>
      <bottom style="thin">
        <color indexed="55"/>
      </bottom>
    </border>
    <border>
      <left style="thin">
        <color indexed="55"/>
      </left>
      <right style="thin">
        <color indexed="55"/>
      </right>
      <top style="thin">
        <color indexed="55"/>
      </top>
      <bottom style="thin">
        <color indexed="55"/>
      </bottom>
    </border>
    <border>
      <left style="thin"/>
      <right style="thin"/>
      <top style="thin"/>
      <bottom style="thin">
        <color indexed="0"/>
      </bottom>
    </border>
    <border>
      <left style="thin">
        <color indexed="0"/>
      </left>
      <right style="thin"/>
      <top style="thin"/>
      <bottom style="thin">
        <color indexed="0"/>
      </bottom>
    </border>
    <border>
      <left style="thin">
        <color indexed="0"/>
      </left>
      <right style="thin">
        <color indexed="0"/>
      </right>
      <top style="thin"/>
      <bottom style="thin">
        <color indexed="0"/>
      </bottom>
    </border>
    <border>
      <left style="thin">
        <color indexed="0"/>
      </left>
      <right style="thin">
        <color indexed="0"/>
      </right>
      <top style="thin">
        <color indexed="0"/>
      </top>
      <bottom style="thin">
        <color indexed="0"/>
      </bottom>
    </border>
    <border>
      <left/>
      <right/>
      <top/>
      <bottom>
        <color indexed="0"/>
      </bottom>
      <diagonal/>
    </border>
    <border>
      <left>
        <color indexed="0"/>
      </left>
      <right/>
      <top/>
      <bottom>
        <color indexed="0"/>
      </bottom>
      <diagonal/>
    </border>
    <border>
      <left>
        <color indexed="0"/>
      </left>
      <right>
        <color indexed="0"/>
      </right>
      <top/>
      <bottom>
        <color indexed="0"/>
      </bottom>
      <diagonal/>
    </border>
    <border>
      <left>
        <color indexed="0"/>
      </left>
      <right>
        <color indexed="0"/>
      </right>
      <top>
        <color indexed="0"/>
      </top>
      <bottom>
        <color indexed="0"/>
      </bottom>
      <diagonal/>
    </border>
    <border>
      <left/>
      <right/>
      <top/>
      <bottom>
        <color indexed="55"/>
      </bottom>
      <diagonal/>
    </border>
    <border>
      <left>
        <color indexed="55"/>
      </left>
      <right/>
      <top/>
      <bottom>
        <color indexed="55"/>
      </bottom>
      <diagonal/>
    </border>
    <border>
      <left>
        <color indexed="55"/>
      </left>
      <right>
        <color indexed="55"/>
      </right>
      <top/>
      <bottom>
        <color indexed="55"/>
      </bottom>
      <diagonal/>
    </border>
    <border>
      <left>
        <color indexed="55"/>
      </left>
      <right>
        <color indexed="55"/>
      </right>
      <top>
        <color indexed="55"/>
      </top>
      <bottom>
        <color indexed="55"/>
      </bottom>
      <diagonal/>
    </border>
    <border>
      <left style="thin">
        <color indexed="8"/>
      </left>
      <right style="thin"/>
      <top style="thin"/>
      <bottom style="thin">
        <color indexed="55"/>
      </bottom>
    </border>
    <border>
      <left style="thin">
        <color indexed="8"/>
      </left>
      <right style="thin">
        <color indexed="55"/>
      </right>
      <top style="thin"/>
      <bottom style="thin">
        <color indexed="55"/>
      </bottom>
    </border>
    <border>
      <left style="thin">
        <color indexed="8"/>
      </left>
      <right style="thin">
        <color indexed="55"/>
      </right>
      <top style="thin">
        <color indexed="55"/>
      </top>
      <bottom style="thin">
        <color indexed="55"/>
      </bottom>
    </border>
  </borders>
  <cellStyleXfs count="1">
    <xf numFmtId="0" fontId="0" fillId="0" borderId="0"/>
  </cellStyleXfs>
  <cellXfs count="20">
    <xf numFmtId="0" fontId="0" fillId="0" borderId="0" xfId="0"/>
    <xf numFmtId="0" fontId="0" fillId="3" borderId="8" xfId="0" applyAlignment="true" applyBorder="true" applyNumberFormat="true" applyFill="true" applyFont="true" quotePrefix="false">
      <alignment horizontal="general" vertical="center" indent="0" textRotation="0" wrapText="true" shrinkToFit="false"/>
      <protection hidden="false" locked="false"/>
    </xf>
    <xf numFmtId="0" fontId="1" fillId="4" borderId="12"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2" fillId="3" borderId="12" xfId="0" applyAlignment="true" applyBorder="true" applyNumberFormat="true" applyFill="true" applyFont="true" quotePrefix="false">
      <alignment horizontal="center" vertical="bottom" indent="0" textRotation="0" wrapText="false" shrinkToFit="false"/>
      <protection hidden="false" locked="false"/>
    </xf>
    <xf numFmtId="0" fontId="3" fillId="4" borderId="12" xfId="0" applyAlignment="true" applyBorder="true" applyNumberFormat="true" applyFill="true" applyFont="true" quotePrefix="false">
      <alignment horizontal="center" vertical="bottom" indent="0" textRotation="0" wrapText="false" shrinkToFit="false"/>
      <protection hidden="false" locked="false"/>
    </xf>
    <xf numFmtId="0" fontId="4" fillId="6" borderId="12" xfId="0" applyAlignment="true" applyBorder="true" applyNumberFormat="true" applyFill="true" applyFont="true" quotePrefix="false">
      <alignment horizontal="center" vertical="bottom" indent="0" textRotation="0" wrapText="false" shrinkToFit="false"/>
      <protection hidden="false" locked="false"/>
    </xf>
    <xf numFmtId="0"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16"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20"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20" xfId="0" applyAlignment="true" applyBorder="true" applyNumberFormat="true" applyFill="true" applyFont="true" quotePrefix="false">
      <alignment horizontal="general" vertical="bottom" indent="0" textRotation="0" wrapText="false" shrinkToFit="false"/>
      <protection hidden="false" locked="false"/>
    </xf>
    <xf numFmtId="2"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1"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general" vertical="center" indent="0" textRotation="0" wrapText="true" shrinkToFit="false"/>
      <protection hidden="false" locked="false"/>
    </xf>
    <xf numFmtId="0" fontId="0" fillId="5" borderId="23" xfId="0" applyAlignment="true" applyBorder="true" applyNumberFormat="true" applyFill="true" applyFont="true" quotePrefix="false">
      <alignment horizontal="general" vertical="bottom" indent="0" textRotation="0" wrapText="false" shrinkToFit="false"/>
      <protection hidden="false" locked="false"/>
    </xf>
    <xf numFmtId="1"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3" borderId="8" xfId="0" applyAlignment="true" applyBorder="true" applyNumberFormat="true" applyFill="true" applyFont="true" quotePrefix="false">
      <alignment horizontal="general" vertical="bottom" indent="0" textRotation="0" wrapText="false" shrinkToFit="false"/>
      <protection hidden="false" locked="false"/>
    </xf>
    <xf numFmtId="2" fontId="0" fillId="5" borderId="8" xfId="0" applyAlignment="true" applyBorder="true" applyNumberFormat="true" applyFill="true" applyFont="true" quotePrefix="false">
      <alignment horizontal="general" vertical="bottom" indent="0" textRotation="0" wrapText="false" shrinkToFit="false"/>
      <protection hidden="false" locked="false"/>
    </xf>
    <xf numFmtId="0" fontId="0" fillId="5" borderId="8" xfId="0" applyAlignment="true" applyBorder="true" applyNumberFormat="true" applyFill="true" applyFont="true" quotePrefix="false">
      <alignment horizontal="center" vertical="center" indent="0" textRotation="0" wrapText="true" shrinkToFit="false"/>
      <protection hidden="false" locked="false"/>
    </xf>
    <xf numFmtId="164" fontId="0" fillId="5" borderId="8" xfId="0" applyAlignment="true" applyBorder="true" applyNumberFormat="true" applyFill="true" applyFont="true" quotePrefix="false">
      <alignment horizontal="center" vertical="center" indent="0" textRotation="0" wrapText="false" shrinkToFit="false"/>
      <protection hidden="true"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90" Target="worksheets/sheet5.xml" Type="http://schemas.openxmlformats.org/officeDocument/2006/relationships/worksheet"/></Relationships>
</file>

<file path=xl/worksheets/sheet1.xml><?xml version="1.0" encoding="utf-8"?>
<worksheet xmlns="http://schemas.openxmlformats.org/spreadsheetml/2006/main">
  <dimension ref="A1:A10"/>
  <sheetViews>
    <sheetView workbookViewId="0" tabSelected="true"/>
  </sheetViews>
  <sheetFormatPr defaultRowHeight="15.0"/>
  <cols>
    <col min="1" max="1" width="255.0" customWidth="true" bestFit="true"/>
  </cols>
  <sheetData>
    <row r="1">
      <c r="A1" t="s" s="2">
        <v>0</v>
      </c>
    </row>
    <row r="2">
      <c r="A2" t="s" s="1">
        <v>1</v>
      </c>
    </row>
    <row r="3">
      <c r="A3" t="s" s="2">
        <v>2</v>
      </c>
    </row>
    <row r="4">
      <c r="A4" t="s" s="1">
        <v>3</v>
      </c>
    </row>
    <row r="5">
      <c r="A5" t="s" s="2">
        <v>4</v>
      </c>
    </row>
    <row r="6">
      <c r="A6" t="s" s="1">
        <v>5</v>
      </c>
    </row>
    <row r="7">
      <c r="A7" t="s" s="2">
        <v>6</v>
      </c>
    </row>
    <row r="8">
      <c r="A8" t="s" s="1">
        <v>7</v>
      </c>
    </row>
    <row r="9">
      <c r="A9" t="s" s="2">
        <v>8</v>
      </c>
    </row>
    <row r="10">
      <c r="A10" t="s" s="1">
        <v>9</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pageMargins bottom="0.75" footer="0.3" header="0.3" left="0.7" right="0.7" top="0.75"/>
</worksheet>
</file>

<file path=xl/worksheets/sheet2.xml><?xml version="1.0" encoding="utf-8"?>
<worksheet xmlns="http://schemas.openxmlformats.org/spreadsheetml/2006/main">
  <dimension ref="A1:E15"/>
  <sheetViews>
    <sheetView workbookViewId="0"/>
  </sheetViews>
  <sheetFormatPr defaultRowHeight="15.0"/>
  <cols>
    <col min="1" max="1" width="39.0625" customWidth="true"/>
    <col min="2" max="2" width="39.0625" customWidth="true"/>
    <col min="3" max="3" width="39.0625" customWidth="true"/>
    <col min="4" max="4" width="39.0625" customWidth="true"/>
    <col min="5" max="5" width="39.0625" customWidth="true"/>
  </cols>
  <sheetData>
    <row r="1">
      <c r="A1" t="s" s="4">
        <v>10</v>
      </c>
      <c r="B1" t="s" s="4">
        <v>11</v>
      </c>
      <c r="C1" t="s" s="4">
        <v>11</v>
      </c>
      <c r="D1" t="s" s="4">
        <v>11</v>
      </c>
      <c r="E1" t="s" s="4">
        <v>11</v>
      </c>
    </row>
    <row r="2">
      <c r="A2" t="s" s="5">
        <v>12</v>
      </c>
      <c r="B2" t="s" s="5">
        <v>13</v>
      </c>
      <c r="C2" t="s" s="5">
        <v>14</v>
      </c>
      <c r="D2" t="s" s="5">
        <v>15</v>
      </c>
      <c r="E2" t="s" s="5">
        <v>16</v>
      </c>
    </row>
    <row r="3">
      <c r="A3" t="s" s="1">
        <v>17</v>
      </c>
      <c r="B3" t="s" s="1">
        <v>18</v>
      </c>
      <c r="C3" t="s" s="1">
        <v>19</v>
      </c>
      <c r="D3" t="s" s="1">
        <v>20</v>
      </c>
      <c r="E3" t="s" s="1">
        <v>21</v>
      </c>
    </row>
    <row r="4">
      <c r="A4" t="s" s="1">
        <v>22</v>
      </c>
      <c r="B4" t="s" s="1">
        <v>23</v>
      </c>
      <c r="C4" t="s" s="1">
        <v>19</v>
      </c>
      <c r="D4" t="s" s="1">
        <v>24</v>
      </c>
      <c r="E4" t="s" s="1">
        <v>21</v>
      </c>
    </row>
    <row r="5">
      <c r="A5" t="s" s="1">
        <v>25</v>
      </c>
      <c r="B5" t="s" s="1">
        <v>26</v>
      </c>
      <c r="C5" t="s" s="1">
        <v>19</v>
      </c>
      <c r="D5" t="s" s="1">
        <v>27</v>
      </c>
      <c r="E5" t="s" s="1">
        <v>21</v>
      </c>
    </row>
    <row r="6">
      <c r="A6" t="s" s="1">
        <v>28</v>
      </c>
      <c r="B6" t="s" s="1">
        <v>29</v>
      </c>
      <c r="C6" t="s" s="1">
        <v>19</v>
      </c>
      <c r="D6" t="s" s="1">
        <v>30</v>
      </c>
      <c r="E6" t="s" s="1">
        <v>21</v>
      </c>
    </row>
    <row r="7">
      <c r="A7" t="s" s="3">
        <v>31</v>
      </c>
      <c r="B7" t="s" s="1">
        <v>32</v>
      </c>
      <c r="C7" t="s" s="1">
        <v>33</v>
      </c>
      <c r="D7" t="s" s="1">
        <v>34</v>
      </c>
      <c r="E7" t="s" s="3">
        <v>35</v>
      </c>
    </row>
    <row r="8">
      <c r="A8" t="s" s="3">
        <v>36</v>
      </c>
      <c r="B8" t="s" s="1">
        <v>37</v>
      </c>
      <c r="C8" t="s" s="1">
        <v>38</v>
      </c>
      <c r="D8" t="s" s="1">
        <v>39</v>
      </c>
      <c r="E8" t="s" s="3">
        <v>35</v>
      </c>
    </row>
    <row r="9">
      <c r="A9" t="s" s="3">
        <v>40</v>
      </c>
      <c r="B9" t="s" s="1">
        <v>41</v>
      </c>
      <c r="C9" t="s" s="1">
        <v>42</v>
      </c>
      <c r="D9" t="s" s="1">
        <v>43</v>
      </c>
      <c r="E9" t="s" s="3">
        <v>35</v>
      </c>
    </row>
    <row r="10">
      <c r="A10" t="s" s="3">
        <v>44</v>
      </c>
      <c r="B10" t="s" s="1">
        <v>45</v>
      </c>
      <c r="C10" t="s" s="1">
        <v>46</v>
      </c>
      <c r="D10" t="s" s="1">
        <v>47</v>
      </c>
      <c r="E10" t="s" s="3">
        <v>35</v>
      </c>
    </row>
    <row r="11">
      <c r="A11" t="s" s="3">
        <v>48</v>
      </c>
      <c r="B11" t="s" s="1">
        <v>49</v>
      </c>
      <c r="C11" t="s" s="1">
        <v>50</v>
      </c>
      <c r="D11" t="s" s="1">
        <v>51</v>
      </c>
      <c r="E11" t="s" s="3">
        <v>35</v>
      </c>
    </row>
    <row r="12">
      <c r="A12" t="s" s="1">
        <v>52</v>
      </c>
      <c r="B12" t="s" s="1">
        <v>53</v>
      </c>
      <c r="C12" t="s" s="1">
        <v>19</v>
      </c>
      <c r="D12" t="s" s="1">
        <v>54</v>
      </c>
      <c r="E12" t="s" s="1">
        <v>21</v>
      </c>
    </row>
    <row r="13">
      <c r="A13" t="s" s="3">
        <v>55</v>
      </c>
      <c r="B13" t="s" s="1">
        <v>56</v>
      </c>
      <c r="C13" t="s" s="1">
        <v>57</v>
      </c>
      <c r="D13" t="s" s="1">
        <v>54</v>
      </c>
      <c r="E13" t="s" s="3">
        <v>35</v>
      </c>
    </row>
    <row r="14">
      <c r="A14" t="s" s="3">
        <v>58</v>
      </c>
      <c r="B14" t="s" s="1">
        <v>59</v>
      </c>
      <c r="C14" t="s" s="1">
        <v>57</v>
      </c>
      <c r="D14" t="s" s="1">
        <v>60</v>
      </c>
      <c r="E14" t="s" s="3">
        <v>35</v>
      </c>
    </row>
    <row r="15">
      <c r="A15" t="s" s="1">
        <v>61</v>
      </c>
      <c r="B15" t="s" s="1">
        <v>62</v>
      </c>
      <c r="C15" t="s" s="1">
        <v>19</v>
      </c>
      <c r="D15" t="s" s="1">
        <v>63</v>
      </c>
      <c r="E15" t="s" s="1">
        <v>21</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mergeCells count="1">
    <mergeCell ref="A1:E1"/>
  </mergeCells>
  <pageMargins bottom="0.75" footer="0.3" header="0.3" left="0.7" right="0.7" top="0.75"/>
</worksheet>
</file>

<file path=xl/worksheets/sheet3.xml><?xml version="1.0" encoding="utf-8"?>
<worksheet xmlns="http://schemas.openxmlformats.org/spreadsheetml/2006/main">
  <dimension ref="A1:P47"/>
  <sheetViews>
    <sheetView workbookViewId="0">
      <pane xSplit="5.0" state="frozen" topLeftCell="F6" activePane="bottomRight" ySplit="5.0"/>
      <selection pane="bottomRight" sqref="B2"/>
    </sheetView>
  </sheetViews>
  <sheetFormatPr defaultRowHeight="15.0"/>
  <cols>
    <col min="1" max="1" width="19.53125" customWidth="true" hidden="true"/>
    <col min="2" max="2" width="19.53125" customWidth="true"/>
    <col min="3" max="3" width="19.53125" customWidth="true"/>
    <col min="4" max="4" width="19.53125" customWidth="true"/>
    <col min="5" max="5" width="19.53125" customWidth="true"/>
    <col min="6" max="6" width="19.53125" customWidth="true" hidden="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hidden="true"/>
  </cols>
  <sheetData>
    <row r="1" hidden="true">
      <c r="A1" t="s" s="0">
        <v>88</v>
      </c>
    </row>
    <row r="2">
      <c r="B2" t="s" s="7">
        <v>87</v>
      </c>
      <c r="C2" t="s" s="7">
        <v>11</v>
      </c>
      <c r="D2" t="s" s="7">
        <v>11</v>
      </c>
      <c r="E2" t="s" s="7">
        <v>11</v>
      </c>
      <c r="F2" t="s" s="7">
        <v>11</v>
      </c>
      <c r="G2" t="s" s="7">
        <v>11</v>
      </c>
      <c r="H2" t="s" s="7">
        <v>11</v>
      </c>
      <c r="I2" t="s" s="7">
        <v>11</v>
      </c>
    </row>
    <row r="3">
      <c r="A3" t="s" s="6">
        <v>64</v>
      </c>
      <c r="B3" t="s" s="6">
        <v>11</v>
      </c>
      <c r="C3" t="s" s="6">
        <v>11</v>
      </c>
      <c r="D3" t="s" s="6">
        <v>11</v>
      </c>
      <c r="E3" t="s" s="6">
        <v>11</v>
      </c>
      <c r="F3" t="s" s="5">
        <v>66</v>
      </c>
      <c r="G3" t="s" s="5">
        <v>11</v>
      </c>
      <c r="H3" t="s" s="5">
        <v>11</v>
      </c>
      <c r="I3" t="s" s="5">
        <v>11</v>
      </c>
      <c r="J3" t="s" s="5">
        <v>11</v>
      </c>
      <c r="K3" t="s" s="5">
        <v>11</v>
      </c>
      <c r="L3" t="s" s="5">
        <v>11</v>
      </c>
      <c r="M3" t="s" s="5">
        <v>11</v>
      </c>
      <c r="N3" t="s" s="5">
        <v>11</v>
      </c>
      <c r="O3" t="s" s="5">
        <v>11</v>
      </c>
      <c r="P3" t="s" s="5">
        <v>11</v>
      </c>
    </row>
    <row r="4">
      <c r="A4" t="s" s="6">
        <v>65</v>
      </c>
      <c r="B4" t="s" s="6">
        <v>17</v>
      </c>
      <c r="C4" t="s" s="6">
        <v>22</v>
      </c>
      <c r="D4" t="s" s="6">
        <v>25</v>
      </c>
      <c r="E4" t="s" s="6">
        <v>28</v>
      </c>
      <c r="F4" t="s" s="6">
        <v>67</v>
      </c>
      <c r="G4" t="s" s="6">
        <v>31</v>
      </c>
      <c r="H4" t="s" s="6">
        <v>36</v>
      </c>
      <c r="I4" t="s" s="6">
        <v>40</v>
      </c>
      <c r="J4" t="s" s="6">
        <v>44</v>
      </c>
      <c r="K4" t="s" s="6">
        <v>48</v>
      </c>
      <c r="L4" t="s" s="6">
        <v>68</v>
      </c>
      <c r="M4" t="s" s="6">
        <v>69</v>
      </c>
      <c r="N4" t="s" s="6">
        <v>58</v>
      </c>
      <c r="O4" t="s" s="6">
        <v>61</v>
      </c>
      <c r="P4" t="s" s="6">
        <v>70</v>
      </c>
    </row>
    <row r="5" hidden="true">
      <c r="A5" t="s" s="0">
        <v>71</v>
      </c>
      <c r="B5" t="s" s="0">
        <v>72</v>
      </c>
      <c r="C5" t="s" s="0">
        <v>73</v>
      </c>
      <c r="D5" t="s" s="0">
        <v>74</v>
      </c>
      <c r="E5" t="s" s="0">
        <v>75</v>
      </c>
      <c r="F5" t="s" s="0">
        <v>76</v>
      </c>
      <c r="G5" t="s" s="0">
        <v>77</v>
      </c>
      <c r="H5" t="s" s="0">
        <v>78</v>
      </c>
      <c r="I5" t="s" s="0">
        <v>79</v>
      </c>
      <c r="J5" t="s" s="0">
        <v>80</v>
      </c>
      <c r="K5" t="s" s="0">
        <v>81</v>
      </c>
      <c r="L5" t="s" s="0">
        <v>82</v>
      </c>
      <c r="M5" t="s" s="0">
        <v>83</v>
      </c>
      <c r="N5" t="s" s="0">
        <v>84</v>
      </c>
      <c r="O5" t="s" s="0">
        <v>85</v>
      </c>
      <c r="P5" t="s" s="0">
        <v>86</v>
      </c>
    </row>
    <row r="6">
      <c r="A6" t="s" s="9">
        <v>89</v>
      </c>
      <c r="B6" t="s" s="10">
        <v>89</v>
      </c>
      <c r="C6" t="s" s="10">
        <v>89</v>
      </c>
      <c r="D6" t="s" s="10">
        <v>90</v>
      </c>
      <c r="E6" t="s" s="10">
        <v>91</v>
      </c>
      <c r="F6" t="s" s="16">
        <v>97</v>
      </c>
      <c r="G6" t="s" s="14">
        <v>93</v>
      </c>
      <c r="H6" t="s" s="13">
        <v>246</v>
      </c>
      <c r="I6" t="s" s="18">
        <v>109</v>
      </c>
      <c r="J6" t="s" s="19">
        <f>IFERROR(VLOOKUP(I6,lookup!$A$1:$C$10000,2,FALSE),"NA")</f>
        <v>96</v>
      </c>
      <c r="K6" t="s" s="19">
        <f>IFERROR(VLOOKUP(I6,lookup!$A$1:$C$10000,3,FALSE),"NA")</f>
        <v>96</v>
      </c>
      <c r="L6" t="n" s="11">
        <v>259.9</v>
      </c>
      <c r="M6" t="n" s="17">
        <v>182.84</v>
      </c>
      <c r="N6" t="n" s="12">
        <v>761.0</v>
      </c>
      <c r="O6" t="n" s="15">
        <v>761.0</v>
      </c>
      <c r="P6" t="s" s="16">
        <v>94</v>
      </c>
    </row>
    <row r="7">
      <c r="A7" t="s" s="9">
        <v>119</v>
      </c>
      <c r="B7" t="s" s="10">
        <v>119</v>
      </c>
      <c r="C7" t="s" s="10">
        <v>119</v>
      </c>
      <c r="D7" t="s" s="10">
        <v>120</v>
      </c>
      <c r="E7" t="s" s="10">
        <v>91</v>
      </c>
      <c r="F7" t="s" s="16">
        <v>124</v>
      </c>
      <c r="G7" t="s" s="14">
        <v>121</v>
      </c>
      <c r="H7" t="s" s="13">
        <v>246</v>
      </c>
      <c r="I7" t="s" s="18">
        <v>109</v>
      </c>
      <c r="J7" t="s" s="19">
        <f>IFERROR(VLOOKUP(I7,lookup!$A$1:$C$10000,2,FALSE),"NA")</f>
        <v>96</v>
      </c>
      <c r="K7" t="s" s="19">
        <f>IFERROR(VLOOKUP(I7,lookup!$A$1:$C$10000,3,FALSE),"NA")</f>
        <v>96</v>
      </c>
      <c r="L7" t="n" s="11">
        <v>167.89</v>
      </c>
      <c r="M7" t="n" s="17">
        <v>159.5</v>
      </c>
      <c r="N7" t="n" s="12">
        <v>419.0</v>
      </c>
      <c r="O7" t="n" s="15">
        <v>419.0</v>
      </c>
      <c r="P7" t="s" s="16">
        <v>122</v>
      </c>
    </row>
    <row r="8">
      <c r="A8" t="s" s="9">
        <v>125</v>
      </c>
      <c r="B8" t="s" s="10">
        <v>125</v>
      </c>
      <c r="C8" t="s" s="10">
        <v>125</v>
      </c>
      <c r="D8" t="s" s="10">
        <v>126</v>
      </c>
      <c r="E8" t="s" s="10">
        <v>91</v>
      </c>
      <c r="F8" t="s" s="16">
        <v>129</v>
      </c>
      <c r="G8" t="s" s="14">
        <v>127</v>
      </c>
      <c r="H8" t="s" s="13">
        <v>246</v>
      </c>
      <c r="I8" t="s" s="18">
        <v>109</v>
      </c>
      <c r="J8" t="s" s="19">
        <f>IFERROR(VLOOKUP(I8,lookup!$A$1:$C$10000,2,FALSE),"NA")</f>
        <v>96</v>
      </c>
      <c r="K8" t="s" s="19">
        <f>IFERROR(VLOOKUP(I8,lookup!$A$1:$C$10000,3,FALSE),"NA")</f>
        <v>96</v>
      </c>
      <c r="L8" t="n" s="11">
        <v>248.75</v>
      </c>
      <c r="M8" t="n" s="17">
        <v>223.88</v>
      </c>
      <c r="N8" t="n" s="12">
        <v>320.0</v>
      </c>
      <c r="O8" t="n" s="15">
        <v>320.0</v>
      </c>
      <c r="P8" t="s" s="16">
        <v>128</v>
      </c>
    </row>
    <row r="9">
      <c r="A9" t="s" s="9">
        <v>130</v>
      </c>
      <c r="B9" t="s" s="10">
        <v>130</v>
      </c>
      <c r="C9" t="s" s="10">
        <v>130</v>
      </c>
      <c r="D9" t="s" s="10">
        <v>131</v>
      </c>
      <c r="E9" t="s" s="10">
        <v>91</v>
      </c>
      <c r="F9" t="s" s="16">
        <v>134</v>
      </c>
      <c r="G9" t="s" s="14">
        <v>132</v>
      </c>
      <c r="H9" t="s" s="13">
        <v>246</v>
      </c>
      <c r="I9" t="s" s="18">
        <v>109</v>
      </c>
      <c r="J9" t="s" s="19">
        <f>IFERROR(VLOOKUP(I9,lookup!$A$1:$C$10000,2,FALSE),"NA")</f>
        <v>96</v>
      </c>
      <c r="K9" t="s" s="19">
        <f>IFERROR(VLOOKUP(I9,lookup!$A$1:$C$10000,3,FALSE),"NA")</f>
        <v>96</v>
      </c>
      <c r="L9" t="n" s="11">
        <v>511.42</v>
      </c>
      <c r="M9" t="n" s="17">
        <v>460.28</v>
      </c>
      <c r="N9" t="n" s="12">
        <v>420.0</v>
      </c>
      <c r="O9" t="n" s="15">
        <v>420.0</v>
      </c>
      <c r="P9" t="s" s="16">
        <v>133</v>
      </c>
    </row>
    <row r="10">
      <c r="A10" t="s" s="9">
        <v>135</v>
      </c>
      <c r="B10" t="s" s="10">
        <v>135</v>
      </c>
      <c r="C10" t="s" s="10">
        <v>135</v>
      </c>
      <c r="D10" t="s" s="10">
        <v>136</v>
      </c>
      <c r="E10" t="s" s="10">
        <v>137</v>
      </c>
      <c r="F10" t="s" s="16">
        <v>141</v>
      </c>
      <c r="G10" t="s" s="14">
        <v>138</v>
      </c>
      <c r="H10" t="s" s="13">
        <v>246</v>
      </c>
      <c r="I10" t="s" s="18">
        <v>101</v>
      </c>
      <c r="J10" t="s" s="19">
        <f>IFERROR(VLOOKUP(I10,lookup!$A$1:$C$10000,2,FALSE),"NA")</f>
        <v>102</v>
      </c>
      <c r="K10" t="s" s="19">
        <f>IFERROR(VLOOKUP(I10,lookup!$A$1:$C$10000,3,FALSE),"NA")</f>
        <v>103</v>
      </c>
      <c r="L10" t="n" s="11">
        <v>203.54</v>
      </c>
      <c r="M10" t="n" s="17">
        <v>193.36</v>
      </c>
      <c r="N10" t="n" s="12">
        <v>422.0</v>
      </c>
      <c r="O10" t="n" s="15">
        <v>422.0</v>
      </c>
      <c r="P10" t="s" s="16">
        <v>139</v>
      </c>
    </row>
    <row r="11">
      <c r="A11" t="s" s="9">
        <v>142</v>
      </c>
      <c r="B11" t="s" s="10">
        <v>142</v>
      </c>
      <c r="C11" t="s" s="10">
        <v>142</v>
      </c>
      <c r="D11" t="s" s="10">
        <v>143</v>
      </c>
      <c r="E11" t="s" s="10">
        <v>91</v>
      </c>
      <c r="F11" t="s" s="16">
        <v>146</v>
      </c>
      <c r="G11" t="s" s="14">
        <v>144</v>
      </c>
      <c r="H11" t="s" s="13">
        <v>246</v>
      </c>
      <c r="I11" t="s" s="18">
        <v>109</v>
      </c>
      <c r="J11" t="s" s="19">
        <f>IFERROR(VLOOKUP(I11,lookup!$A$1:$C$10000,2,FALSE),"NA")</f>
        <v>96</v>
      </c>
      <c r="K11" t="s" s="19">
        <f>IFERROR(VLOOKUP(I11,lookup!$A$1:$C$10000,3,FALSE),"NA")</f>
        <v>96</v>
      </c>
      <c r="L11" t="n" s="11">
        <v>143.13</v>
      </c>
      <c r="M11" t="n" s="17">
        <v>128.82</v>
      </c>
      <c r="N11" t="n" s="12">
        <v>519.0</v>
      </c>
      <c r="O11" t="n" s="15">
        <v>519.0</v>
      </c>
      <c r="P11" t="s" s="16">
        <v>145</v>
      </c>
    </row>
    <row r="12">
      <c r="A12" t="s" s="9">
        <v>147</v>
      </c>
      <c r="B12" t="s" s="10">
        <v>147</v>
      </c>
      <c r="C12" t="s" s="10">
        <v>147</v>
      </c>
      <c r="D12" t="s" s="10">
        <v>148</v>
      </c>
      <c r="E12" t="s" s="10">
        <v>137</v>
      </c>
      <c r="F12" t="s" s="16">
        <v>151</v>
      </c>
      <c r="G12" t="s" s="14">
        <v>149</v>
      </c>
      <c r="H12" t="s" s="13">
        <v>246</v>
      </c>
      <c r="I12" t="s" s="18">
        <v>101</v>
      </c>
      <c r="J12" t="s" s="19">
        <f>IFERROR(VLOOKUP(I12,lookup!$A$1:$C$10000,2,FALSE),"NA")</f>
        <v>102</v>
      </c>
      <c r="K12" t="s" s="19">
        <f>IFERROR(VLOOKUP(I12,lookup!$A$1:$C$10000,3,FALSE),"NA")</f>
        <v>103</v>
      </c>
      <c r="L12" t="n" s="11">
        <v>290.17</v>
      </c>
      <c r="M12" t="n" s="17">
        <v>261.15</v>
      </c>
      <c r="N12" t="n" s="12">
        <v>869.0</v>
      </c>
      <c r="O12" t="n" s="15">
        <v>869.0</v>
      </c>
      <c r="P12" t="s" s="16">
        <v>150</v>
      </c>
    </row>
    <row r="13">
      <c r="A13" t="s" s="9">
        <v>152</v>
      </c>
      <c r="B13" t="s" s="10">
        <v>152</v>
      </c>
      <c r="C13" t="s" s="10">
        <v>152</v>
      </c>
      <c r="D13" t="s" s="10">
        <v>153</v>
      </c>
      <c r="E13" t="s" s="10">
        <v>91</v>
      </c>
      <c r="F13" t="s" s="16">
        <v>156</v>
      </c>
      <c r="G13" t="s" s="14">
        <v>154</v>
      </c>
      <c r="H13" t="s" s="13">
        <v>246</v>
      </c>
      <c r="I13" t="s" s="18">
        <v>109</v>
      </c>
      <c r="J13" t="s" s="19">
        <f>IFERROR(VLOOKUP(I13,lookup!$A$1:$C$10000,2,FALSE),"NA")</f>
        <v>96</v>
      </c>
      <c r="K13" t="s" s="19">
        <f>IFERROR(VLOOKUP(I13,lookup!$A$1:$C$10000,3,FALSE),"NA")</f>
        <v>96</v>
      </c>
      <c r="L13" t="n" s="11">
        <v>467.67</v>
      </c>
      <c r="M13" t="n" s="17">
        <v>420.9</v>
      </c>
      <c r="N13" t="n" s="12">
        <v>441.0</v>
      </c>
      <c r="O13" t="n" s="15">
        <v>441.0</v>
      </c>
      <c r="P13" t="s" s="16">
        <v>155</v>
      </c>
    </row>
    <row r="14">
      <c r="A14" t="s" s="9">
        <v>157</v>
      </c>
      <c r="B14" t="s" s="10">
        <v>157</v>
      </c>
      <c r="C14" t="s" s="10">
        <v>157</v>
      </c>
      <c r="D14" t="s" s="10">
        <v>158</v>
      </c>
      <c r="E14" t="s" s="10">
        <v>91</v>
      </c>
      <c r="F14" t="s" s="16">
        <v>161</v>
      </c>
      <c r="G14" t="s" s="14">
        <v>159</v>
      </c>
      <c r="H14" t="s" s="13">
        <v>246</v>
      </c>
      <c r="I14" t="s" s="18">
        <v>109</v>
      </c>
      <c r="J14" t="s" s="19">
        <f>IFERROR(VLOOKUP(I14,lookup!$A$1:$C$10000,2,FALSE),"NA")</f>
        <v>96</v>
      </c>
      <c r="K14" t="s" s="19">
        <f>IFERROR(VLOOKUP(I14,lookup!$A$1:$C$10000,3,FALSE),"NA")</f>
        <v>96</v>
      </c>
      <c r="L14" t="n" s="11">
        <v>132.9</v>
      </c>
      <c r="M14" t="n" s="17">
        <v>119.61</v>
      </c>
      <c r="N14" t="n" s="12">
        <v>555.0</v>
      </c>
      <c r="O14" t="n" s="15">
        <v>555.0</v>
      </c>
      <c r="P14" t="s" s="16">
        <v>160</v>
      </c>
    </row>
    <row r="15">
      <c r="A15" t="s" s="9">
        <v>162</v>
      </c>
      <c r="B15" t="s" s="10">
        <v>162</v>
      </c>
      <c r="C15" t="s" s="10">
        <v>162</v>
      </c>
      <c r="D15" t="s" s="10">
        <v>163</v>
      </c>
      <c r="E15" t="s" s="10">
        <v>137</v>
      </c>
      <c r="F15" t="s" s="16">
        <v>166</v>
      </c>
      <c r="G15" t="s" s="14">
        <v>164</v>
      </c>
      <c r="H15" t="s" s="13">
        <v>246</v>
      </c>
      <c r="I15" t="s" s="18">
        <v>101</v>
      </c>
      <c r="J15" t="s" s="19">
        <f>IFERROR(VLOOKUP(I15,lookup!$A$1:$C$10000,2,FALSE),"NA")</f>
        <v>102</v>
      </c>
      <c r="K15" t="s" s="19">
        <f>IFERROR(VLOOKUP(I15,lookup!$A$1:$C$10000,3,FALSE),"NA")</f>
        <v>103</v>
      </c>
      <c r="L15" t="n" s="11">
        <v>674.62</v>
      </c>
      <c r="M15" t="n" s="17">
        <v>607.16</v>
      </c>
      <c r="N15" t="n" s="12">
        <v>400.0</v>
      </c>
      <c r="O15" t="n" s="15">
        <v>400.0</v>
      </c>
      <c r="P15" t="s" s="16">
        <v>165</v>
      </c>
    </row>
    <row r="16">
      <c r="A16" t="s" s="9">
        <v>167</v>
      </c>
      <c r="B16" t="s" s="10">
        <v>167</v>
      </c>
      <c r="C16" t="s" s="10">
        <v>167</v>
      </c>
      <c r="D16" t="s" s="10">
        <v>168</v>
      </c>
      <c r="E16" t="s" s="10">
        <v>91</v>
      </c>
      <c r="F16" t="s" s="16">
        <v>171</v>
      </c>
      <c r="G16" t="s" s="14">
        <v>169</v>
      </c>
      <c r="H16" t="s" s="13">
        <v>246</v>
      </c>
      <c r="I16" t="s" s="18">
        <v>109</v>
      </c>
      <c r="J16" t="s" s="19">
        <f>IFERROR(VLOOKUP(I16,lookup!$A$1:$C$10000,2,FALSE),"NA")</f>
        <v>96</v>
      </c>
      <c r="K16" t="s" s="19">
        <f>IFERROR(VLOOKUP(I16,lookup!$A$1:$C$10000,3,FALSE),"NA")</f>
        <v>96</v>
      </c>
      <c r="L16" t="n" s="11">
        <v>198.03</v>
      </c>
      <c r="M16" t="n" s="17">
        <v>178.23</v>
      </c>
      <c r="N16" t="n" s="12">
        <v>650.0</v>
      </c>
      <c r="O16" t="n" s="15">
        <v>650.0</v>
      </c>
      <c r="P16" t="s" s="16">
        <v>170</v>
      </c>
    </row>
    <row r="17">
      <c r="A17" t="s" s="9">
        <v>125</v>
      </c>
      <c r="B17" t="s" s="10">
        <v>125</v>
      </c>
      <c r="C17" t="s" s="10">
        <v>125</v>
      </c>
      <c r="D17" t="s" s="10">
        <v>126</v>
      </c>
      <c r="E17" t="s" s="10">
        <v>137</v>
      </c>
      <c r="F17" t="s" s="16">
        <v>172</v>
      </c>
      <c r="G17" t="s" s="14">
        <v>127</v>
      </c>
      <c r="H17" t="s" s="13">
        <v>246</v>
      </c>
      <c r="I17" t="s" s="18">
        <v>101</v>
      </c>
      <c r="J17" t="s" s="19">
        <f>IFERROR(VLOOKUP(I17,lookup!$A$1:$C$10000,2,FALSE),"NA")</f>
        <v>102</v>
      </c>
      <c r="K17" t="s" s="19">
        <f>IFERROR(VLOOKUP(I17,lookup!$A$1:$C$10000,3,FALSE),"NA")</f>
        <v>103</v>
      </c>
      <c r="L17" t="n" s="11">
        <v>248.75</v>
      </c>
      <c r="M17" t="n" s="17">
        <v>223.88</v>
      </c>
      <c r="N17" t="n" s="12">
        <v>320.0</v>
      </c>
      <c r="O17" t="n" s="15">
        <v>320.0</v>
      </c>
      <c r="P17" t="s" s="16">
        <v>128</v>
      </c>
    </row>
    <row r="18">
      <c r="A18" t="s" s="9">
        <v>162</v>
      </c>
      <c r="B18" t="s" s="10">
        <v>162</v>
      </c>
      <c r="C18" t="s" s="10">
        <v>162</v>
      </c>
      <c r="D18" t="s" s="10">
        <v>163</v>
      </c>
      <c r="E18" t="s" s="10">
        <v>91</v>
      </c>
      <c r="F18" t="s" s="16">
        <v>173</v>
      </c>
      <c r="G18" t="s" s="14">
        <v>164</v>
      </c>
      <c r="H18" t="s" s="13">
        <v>246</v>
      </c>
      <c r="I18" t="s" s="18">
        <v>109</v>
      </c>
      <c r="J18" t="s" s="19">
        <f>IFERROR(VLOOKUP(I18,lookup!$A$1:$C$10000,2,FALSE),"NA")</f>
        <v>96</v>
      </c>
      <c r="K18" t="s" s="19">
        <f>IFERROR(VLOOKUP(I18,lookup!$A$1:$C$10000,3,FALSE),"NA")</f>
        <v>96</v>
      </c>
      <c r="L18" t="n" s="11">
        <v>674.62</v>
      </c>
      <c r="M18" t="n" s="17">
        <v>607.16</v>
      </c>
      <c r="N18" t="n" s="12">
        <v>400.0</v>
      </c>
      <c r="O18" t="n" s="15">
        <v>400.0</v>
      </c>
      <c r="P18" t="s" s="16">
        <v>165</v>
      </c>
    </row>
    <row r="19">
      <c r="A19" t="s" s="9">
        <v>135</v>
      </c>
      <c r="B19" t="s" s="10">
        <v>135</v>
      </c>
      <c r="C19" t="s" s="10">
        <v>135</v>
      </c>
      <c r="D19" t="s" s="10">
        <v>136</v>
      </c>
      <c r="E19" t="s" s="10">
        <v>91</v>
      </c>
      <c r="F19" t="s" s="16">
        <v>174</v>
      </c>
      <c r="G19" t="s" s="14">
        <v>138</v>
      </c>
      <c r="H19" t="s" s="13">
        <v>246</v>
      </c>
      <c r="I19" t="s" s="18">
        <v>109</v>
      </c>
      <c r="J19" t="s" s="19">
        <f>IFERROR(VLOOKUP(I19,lookup!$A$1:$C$10000,2,FALSE),"NA")</f>
        <v>96</v>
      </c>
      <c r="K19" t="s" s="19">
        <f>IFERROR(VLOOKUP(I19,lookup!$A$1:$C$10000,3,FALSE),"NA")</f>
        <v>96</v>
      </c>
      <c r="L19" t="n" s="11">
        <v>203.54</v>
      </c>
      <c r="M19" t="n" s="17">
        <v>193.36</v>
      </c>
      <c r="N19" t="n" s="12">
        <v>422.0</v>
      </c>
      <c r="O19" t="n" s="15">
        <v>422.0</v>
      </c>
      <c r="P19" t="s" s="16">
        <v>139</v>
      </c>
    </row>
    <row r="20">
      <c r="A20" t="s" s="9">
        <v>175</v>
      </c>
      <c r="B20" t="s" s="10">
        <v>175</v>
      </c>
      <c r="C20" t="s" s="10">
        <v>175</v>
      </c>
      <c r="D20" t="s" s="10">
        <v>176</v>
      </c>
      <c r="E20" t="s" s="10">
        <v>137</v>
      </c>
      <c r="F20" t="s" s="16">
        <v>180</v>
      </c>
      <c r="G20" t="s" s="14">
        <v>177</v>
      </c>
      <c r="H20" t="s" s="13">
        <v>246</v>
      </c>
      <c r="I20" t="s" s="18">
        <v>116</v>
      </c>
      <c r="J20" t="s" s="19">
        <f>IFERROR(VLOOKUP(I20,lookup!$A$1:$C$10000,2,FALSE),"NA")</f>
        <v>117</v>
      </c>
      <c r="K20" t="s" s="19">
        <f>IFERROR(VLOOKUP(I20,lookup!$A$1:$C$10000,3,FALSE),"NA")</f>
        <v>118</v>
      </c>
      <c r="L20" t="n" s="11">
        <v>1070.17</v>
      </c>
      <c r="M20" t="n" s="17">
        <v>963.15</v>
      </c>
      <c r="N20" t="n" s="12">
        <v>708.0</v>
      </c>
      <c r="O20" t="n" s="15">
        <v>708.0</v>
      </c>
      <c r="P20" t="s" s="16">
        <v>178</v>
      </c>
    </row>
    <row r="21">
      <c r="A21" t="s" s="9">
        <v>181</v>
      </c>
      <c r="B21" t="s" s="10">
        <v>181</v>
      </c>
      <c r="C21" t="s" s="10">
        <v>181</v>
      </c>
      <c r="D21" t="s" s="10">
        <v>182</v>
      </c>
      <c r="E21" t="s" s="10">
        <v>137</v>
      </c>
      <c r="F21" t="s" s="16">
        <v>185</v>
      </c>
      <c r="G21" t="s" s="14">
        <v>183</v>
      </c>
      <c r="H21" t="s" s="13">
        <v>246</v>
      </c>
      <c r="I21" t="s" s="18">
        <v>101</v>
      </c>
      <c r="J21" t="s" s="19">
        <f>IFERROR(VLOOKUP(I21,lookup!$A$1:$C$10000,2,FALSE),"NA")</f>
        <v>102</v>
      </c>
      <c r="K21" t="s" s="19">
        <f>IFERROR(VLOOKUP(I21,lookup!$A$1:$C$10000,3,FALSE),"NA")</f>
        <v>103</v>
      </c>
      <c r="L21" t="n" s="11">
        <v>335.68</v>
      </c>
      <c r="M21" t="n" s="17">
        <v>302.11</v>
      </c>
      <c r="N21" t="n" s="12">
        <v>221.0</v>
      </c>
      <c r="O21" t="n" s="15">
        <v>221.0</v>
      </c>
      <c r="P21" t="s" s="16">
        <v>184</v>
      </c>
    </row>
    <row r="22">
      <c r="A22" t="s" s="9">
        <v>186</v>
      </c>
      <c r="B22" t="s" s="10">
        <v>186</v>
      </c>
      <c r="C22" t="s" s="10">
        <v>186</v>
      </c>
      <c r="D22" t="s" s="10">
        <v>187</v>
      </c>
      <c r="E22" t="s" s="10">
        <v>137</v>
      </c>
      <c r="F22" t="s" s="16">
        <v>190</v>
      </c>
      <c r="G22" t="s" s="14">
        <v>188</v>
      </c>
      <c r="H22" t="s" s="13">
        <v>246</v>
      </c>
      <c r="I22" t="s" s="18">
        <v>101</v>
      </c>
      <c r="J22" t="s" s="19">
        <f>IFERROR(VLOOKUP(I22,lookup!$A$1:$C$10000,2,FALSE),"NA")</f>
        <v>102</v>
      </c>
      <c r="K22" t="s" s="19">
        <f>IFERROR(VLOOKUP(I22,lookup!$A$1:$C$10000,3,FALSE),"NA")</f>
        <v>103</v>
      </c>
      <c r="L22" t="n" s="11">
        <v>543.85</v>
      </c>
      <c r="M22" t="n" s="17">
        <v>489.46</v>
      </c>
      <c r="N22" t="n" s="12">
        <v>737.0</v>
      </c>
      <c r="O22" t="n" s="15">
        <v>737.0</v>
      </c>
      <c r="P22" t="s" s="16">
        <v>189</v>
      </c>
    </row>
    <row r="23">
      <c r="A23" t="s" s="9">
        <v>191</v>
      </c>
      <c r="B23" t="s" s="10">
        <v>191</v>
      </c>
      <c r="C23" t="s" s="10">
        <v>191</v>
      </c>
      <c r="D23" t="s" s="10">
        <v>192</v>
      </c>
      <c r="E23" t="s" s="10">
        <v>91</v>
      </c>
      <c r="F23" t="s" s="16">
        <v>195</v>
      </c>
      <c r="G23" t="s" s="14">
        <v>193</v>
      </c>
      <c r="H23" t="s" s="13">
        <v>246</v>
      </c>
      <c r="I23" t="s" s="18">
        <v>109</v>
      </c>
      <c r="J23" t="s" s="19">
        <f>IFERROR(VLOOKUP(I23,lookup!$A$1:$C$10000,2,FALSE),"NA")</f>
        <v>96</v>
      </c>
      <c r="K23" t="s" s="19">
        <f>IFERROR(VLOOKUP(I23,lookup!$A$1:$C$10000,3,FALSE),"NA")</f>
        <v>96</v>
      </c>
      <c r="L23" t="n" s="11">
        <v>616.18</v>
      </c>
      <c r="M23" t="n" s="17">
        <v>554.56</v>
      </c>
      <c r="N23" t="n" s="12">
        <v>904.0</v>
      </c>
      <c r="O23" t="n" s="15">
        <v>904.0</v>
      </c>
      <c r="P23" t="s" s="16">
        <v>194</v>
      </c>
    </row>
    <row r="24">
      <c r="A24" t="s" s="9">
        <v>181</v>
      </c>
      <c r="B24" t="s" s="10">
        <v>181</v>
      </c>
      <c r="C24" t="s" s="10">
        <v>181</v>
      </c>
      <c r="D24" t="s" s="10">
        <v>182</v>
      </c>
      <c r="E24" t="s" s="10">
        <v>91</v>
      </c>
      <c r="F24" t="s" s="16">
        <v>196</v>
      </c>
      <c r="G24" t="s" s="14">
        <v>183</v>
      </c>
      <c r="H24" t="s" s="13">
        <v>246</v>
      </c>
      <c r="I24" t="s" s="18">
        <v>109</v>
      </c>
      <c r="J24" t="s" s="19">
        <f>IFERROR(VLOOKUP(I24,lookup!$A$1:$C$10000,2,FALSE),"NA")</f>
        <v>96</v>
      </c>
      <c r="K24" t="s" s="19">
        <f>IFERROR(VLOOKUP(I24,lookup!$A$1:$C$10000,3,FALSE),"NA")</f>
        <v>96</v>
      </c>
      <c r="L24" t="n" s="11">
        <v>335.68</v>
      </c>
      <c r="M24" t="n" s="17">
        <v>302.11</v>
      </c>
      <c r="N24" t="n" s="12">
        <v>221.0</v>
      </c>
      <c r="O24" t="n" s="15">
        <v>221.0</v>
      </c>
      <c r="P24" t="s" s="16">
        <v>184</v>
      </c>
    </row>
    <row r="25">
      <c r="A25" t="s" s="9">
        <v>197</v>
      </c>
      <c r="B25" t="s" s="10">
        <v>197</v>
      </c>
      <c r="C25" t="s" s="10">
        <v>197</v>
      </c>
      <c r="D25" t="s" s="10">
        <v>198</v>
      </c>
      <c r="E25" t="s" s="10">
        <v>91</v>
      </c>
      <c r="F25" t="s" s="16">
        <v>201</v>
      </c>
      <c r="G25" t="s" s="14">
        <v>199</v>
      </c>
      <c r="H25" t="s" s="13">
        <v>246</v>
      </c>
      <c r="I25" t="s" s="18">
        <v>109</v>
      </c>
      <c r="J25" t="s" s="19">
        <f>IFERROR(VLOOKUP(I25,lookup!$A$1:$C$10000,2,FALSE),"NA")</f>
        <v>96</v>
      </c>
      <c r="K25" t="s" s="19">
        <f>IFERROR(VLOOKUP(I25,lookup!$A$1:$C$10000,3,FALSE),"NA")</f>
        <v>96</v>
      </c>
      <c r="L25" t="n" s="11">
        <v>116.0</v>
      </c>
      <c r="M25" t="n" s="17">
        <v>104.4</v>
      </c>
      <c r="N25" t="n" s="12">
        <v>326.0</v>
      </c>
      <c r="O25" t="n" s="15">
        <v>326.0</v>
      </c>
      <c r="P25" t="s" s="16">
        <v>200</v>
      </c>
    </row>
    <row r="26">
      <c r="A26" t="s" s="9">
        <v>89</v>
      </c>
      <c r="B26" t="s" s="10">
        <v>89</v>
      </c>
      <c r="C26" t="s" s="10">
        <v>89</v>
      </c>
      <c r="D26" t="s" s="10">
        <v>90</v>
      </c>
      <c r="E26" t="s" s="10">
        <v>137</v>
      </c>
      <c r="F26" t="s" s="16">
        <v>202</v>
      </c>
      <c r="G26" t="s" s="14">
        <v>93</v>
      </c>
      <c r="H26" t="s" s="13">
        <v>246</v>
      </c>
      <c r="I26" t="s" s="18">
        <v>116</v>
      </c>
      <c r="J26" t="s" s="19">
        <f>IFERROR(VLOOKUP(I26,lookup!$A$1:$C$10000,2,FALSE),"NA")</f>
        <v>117</v>
      </c>
      <c r="K26" t="s" s="19">
        <f>IFERROR(VLOOKUP(I26,lookup!$A$1:$C$10000,3,FALSE),"NA")</f>
        <v>118</v>
      </c>
      <c r="L26" t="n" s="11">
        <v>259.9</v>
      </c>
      <c r="M26" t="n" s="17">
        <v>182.84</v>
      </c>
      <c r="N26" t="n" s="12">
        <v>761.0</v>
      </c>
      <c r="O26" t="n" s="15">
        <v>761.0</v>
      </c>
      <c r="P26" t="s" s="16">
        <v>94</v>
      </c>
    </row>
    <row r="27">
      <c r="A27" t="s" s="9">
        <v>203</v>
      </c>
      <c r="B27" t="s" s="10">
        <v>203</v>
      </c>
      <c r="C27" t="s" s="10">
        <v>203</v>
      </c>
      <c r="D27" t="s" s="10">
        <v>204</v>
      </c>
      <c r="E27" t="s" s="10">
        <v>91</v>
      </c>
      <c r="F27" t="s" s="16">
        <v>207</v>
      </c>
      <c r="G27" t="s" s="14">
        <v>205</v>
      </c>
      <c r="H27" t="s" s="13">
        <v>246</v>
      </c>
      <c r="I27" t="s" s="18">
        <v>109</v>
      </c>
      <c r="J27" t="s" s="19">
        <f>IFERROR(VLOOKUP(I27,lookup!$A$1:$C$10000,2,FALSE),"NA")</f>
        <v>96</v>
      </c>
      <c r="K27" t="s" s="19">
        <f>IFERROR(VLOOKUP(I27,lookup!$A$1:$C$10000,3,FALSE),"NA")</f>
        <v>96</v>
      </c>
      <c r="L27" t="n" s="11">
        <v>1053.17</v>
      </c>
      <c r="M27" t="n" s="17">
        <v>947.85</v>
      </c>
      <c r="N27" t="n" s="12">
        <v>663.0</v>
      </c>
      <c r="O27" t="n" s="15">
        <v>663.0</v>
      </c>
      <c r="P27" t="s" s="16">
        <v>206</v>
      </c>
    </row>
    <row r="28">
      <c r="A28" t="s" s="9">
        <v>119</v>
      </c>
      <c r="B28" t="s" s="10">
        <v>119</v>
      </c>
      <c r="C28" t="s" s="10">
        <v>119</v>
      </c>
      <c r="D28" t="s" s="10">
        <v>120</v>
      </c>
      <c r="E28" t="s" s="10">
        <v>137</v>
      </c>
      <c r="F28" t="s" s="16">
        <v>209</v>
      </c>
      <c r="G28" t="s" s="14">
        <v>121</v>
      </c>
      <c r="H28" t="s" s="13">
        <v>246</v>
      </c>
      <c r="I28" t="s" s="18">
        <v>101</v>
      </c>
      <c r="J28" t="s" s="19">
        <f>IFERROR(VLOOKUP(I28,lookup!$A$1:$C$10000,2,FALSE),"NA")</f>
        <v>102</v>
      </c>
      <c r="K28" t="s" s="19">
        <f>IFERROR(VLOOKUP(I28,lookup!$A$1:$C$10000,3,FALSE),"NA")</f>
        <v>103</v>
      </c>
      <c r="L28" t="n" s="11">
        <v>167.89</v>
      </c>
      <c r="M28" t="n" s="17">
        <v>159.5</v>
      </c>
      <c r="N28" t="n" s="12">
        <v>419.0</v>
      </c>
      <c r="O28" t="n" s="15">
        <v>419.0</v>
      </c>
      <c r="P28" t="s" s="16">
        <v>122</v>
      </c>
    </row>
    <row r="29">
      <c r="A29" t="s" s="9">
        <v>203</v>
      </c>
      <c r="B29" t="s" s="10">
        <v>203</v>
      </c>
      <c r="C29" t="s" s="10">
        <v>203</v>
      </c>
      <c r="D29" t="s" s="10">
        <v>204</v>
      </c>
      <c r="E29" t="s" s="10">
        <v>137</v>
      </c>
      <c r="F29" t="s" s="16">
        <v>210</v>
      </c>
      <c r="G29" t="s" s="14">
        <v>205</v>
      </c>
      <c r="H29" t="s" s="13">
        <v>246</v>
      </c>
      <c r="I29" t="s" s="18">
        <v>101</v>
      </c>
      <c r="J29" t="s" s="19">
        <f>IFERROR(VLOOKUP(I29,lookup!$A$1:$C$10000,2,FALSE),"NA")</f>
        <v>102</v>
      </c>
      <c r="K29" t="s" s="19">
        <f>IFERROR(VLOOKUP(I29,lookup!$A$1:$C$10000,3,FALSE),"NA")</f>
        <v>103</v>
      </c>
      <c r="L29" t="n" s="11">
        <v>1053.17</v>
      </c>
      <c r="M29" t="n" s="17">
        <v>947.85</v>
      </c>
      <c r="N29" t="n" s="12">
        <v>663.0</v>
      </c>
      <c r="O29" t="n" s="15">
        <v>663.0</v>
      </c>
      <c r="P29" t="s" s="16">
        <v>206</v>
      </c>
    </row>
    <row r="30">
      <c r="A30" t="s" s="9">
        <v>167</v>
      </c>
      <c r="B30" t="s" s="10">
        <v>167</v>
      </c>
      <c r="C30" t="s" s="10">
        <v>167</v>
      </c>
      <c r="D30" t="s" s="10">
        <v>168</v>
      </c>
      <c r="E30" t="s" s="10">
        <v>137</v>
      </c>
      <c r="F30" t="s" s="16">
        <v>211</v>
      </c>
      <c r="G30" t="s" s="14">
        <v>169</v>
      </c>
      <c r="H30" t="s" s="13">
        <v>246</v>
      </c>
      <c r="I30" t="s" s="18">
        <v>116</v>
      </c>
      <c r="J30" t="s" s="19">
        <f>IFERROR(VLOOKUP(I30,lookup!$A$1:$C$10000,2,FALSE),"NA")</f>
        <v>117</v>
      </c>
      <c r="K30" t="s" s="19">
        <f>IFERROR(VLOOKUP(I30,lookup!$A$1:$C$10000,3,FALSE),"NA")</f>
        <v>118</v>
      </c>
      <c r="L30" t="n" s="11">
        <v>198.03</v>
      </c>
      <c r="M30" t="n" s="17">
        <v>178.23</v>
      </c>
      <c r="N30" t="n" s="12">
        <v>650.0</v>
      </c>
      <c r="O30" t="n" s="15">
        <v>650.0</v>
      </c>
      <c r="P30" t="s" s="16">
        <v>170</v>
      </c>
    </row>
    <row r="31">
      <c r="A31" t="s" s="9">
        <v>197</v>
      </c>
      <c r="B31" t="s" s="10">
        <v>197</v>
      </c>
      <c r="C31" t="s" s="10">
        <v>197</v>
      </c>
      <c r="D31" t="s" s="10">
        <v>198</v>
      </c>
      <c r="E31" t="s" s="10">
        <v>137</v>
      </c>
      <c r="F31" t="s" s="16">
        <v>212</v>
      </c>
      <c r="G31" t="s" s="14">
        <v>199</v>
      </c>
      <c r="H31" t="s" s="13">
        <v>246</v>
      </c>
      <c r="I31" t="s" s="18">
        <v>116</v>
      </c>
      <c r="J31" t="s" s="19">
        <f>IFERROR(VLOOKUP(I31,lookup!$A$1:$C$10000,2,FALSE),"NA")</f>
        <v>117</v>
      </c>
      <c r="K31" t="s" s="19">
        <f>IFERROR(VLOOKUP(I31,lookup!$A$1:$C$10000,3,FALSE),"NA")</f>
        <v>118</v>
      </c>
      <c r="L31" t="n" s="11">
        <v>116.0</v>
      </c>
      <c r="M31" t="n" s="17">
        <v>104.4</v>
      </c>
      <c r="N31" t="n" s="12">
        <v>326.0</v>
      </c>
      <c r="O31" t="n" s="15">
        <v>326.0</v>
      </c>
      <c r="P31" t="s" s="16">
        <v>200</v>
      </c>
    </row>
    <row r="32">
      <c r="A32" t="s" s="9">
        <v>186</v>
      </c>
      <c r="B32" t="s" s="10">
        <v>186</v>
      </c>
      <c r="C32" t="s" s="10">
        <v>186</v>
      </c>
      <c r="D32" t="s" s="10">
        <v>187</v>
      </c>
      <c r="E32" t="s" s="10">
        <v>91</v>
      </c>
      <c r="F32" t="s" s="16">
        <v>213</v>
      </c>
      <c r="G32" t="s" s="14">
        <v>188</v>
      </c>
      <c r="H32" t="s" s="13">
        <v>246</v>
      </c>
      <c r="I32" t="s" s="18">
        <v>109</v>
      </c>
      <c r="J32" t="s" s="19">
        <f>IFERROR(VLOOKUP(I32,lookup!$A$1:$C$10000,2,FALSE),"NA")</f>
        <v>96</v>
      </c>
      <c r="K32" t="s" s="19">
        <f>IFERROR(VLOOKUP(I32,lookup!$A$1:$C$10000,3,FALSE),"NA")</f>
        <v>96</v>
      </c>
      <c r="L32" t="n" s="11">
        <v>543.85</v>
      </c>
      <c r="M32" t="n" s="17">
        <v>489.46</v>
      </c>
      <c r="N32" t="n" s="12">
        <v>737.0</v>
      </c>
      <c r="O32" t="n" s="15">
        <v>737.0</v>
      </c>
      <c r="P32" t="s" s="16">
        <v>189</v>
      </c>
    </row>
    <row r="33">
      <c r="A33" t="s" s="9">
        <v>214</v>
      </c>
      <c r="B33" t="s" s="10">
        <v>214</v>
      </c>
      <c r="C33" t="s" s="10">
        <v>214</v>
      </c>
      <c r="D33" t="s" s="10">
        <v>215</v>
      </c>
      <c r="E33" t="s" s="10">
        <v>137</v>
      </c>
      <c r="F33" t="s" s="16">
        <v>218</v>
      </c>
      <c r="G33" t="s" s="14">
        <v>216</v>
      </c>
      <c r="H33" t="s" s="13">
        <v>246</v>
      </c>
      <c r="I33" t="s" s="18">
        <v>101</v>
      </c>
      <c r="J33" t="s" s="19">
        <f>IFERROR(VLOOKUP(I33,lookup!$A$1:$C$10000,2,FALSE),"NA")</f>
        <v>102</v>
      </c>
      <c r="K33" t="s" s="19">
        <f>IFERROR(VLOOKUP(I33,lookup!$A$1:$C$10000,3,FALSE),"NA")</f>
        <v>103</v>
      </c>
      <c r="L33" t="n" s="11">
        <v>119.22</v>
      </c>
      <c r="M33" t="n" s="17">
        <v>107.3</v>
      </c>
      <c r="N33" t="n" s="12">
        <v>881.0</v>
      </c>
      <c r="O33" t="n" s="15">
        <v>881.0</v>
      </c>
      <c r="P33" t="s" s="16">
        <v>217</v>
      </c>
    </row>
    <row r="34">
      <c r="A34" t="s" s="9">
        <v>219</v>
      </c>
      <c r="B34" t="s" s="10">
        <v>219</v>
      </c>
      <c r="C34" t="s" s="10">
        <v>219</v>
      </c>
      <c r="D34" t="s" s="10">
        <v>220</v>
      </c>
      <c r="E34" t="s" s="10">
        <v>91</v>
      </c>
      <c r="F34" t="s" s="16">
        <v>223</v>
      </c>
      <c r="G34" t="s" s="14">
        <v>221</v>
      </c>
      <c r="H34" t="s" s="13">
        <v>246</v>
      </c>
      <c r="I34" t="s" s="18">
        <v>109</v>
      </c>
      <c r="J34" t="s" s="19">
        <f>IFERROR(VLOOKUP(I34,lookup!$A$1:$C$10000,2,FALSE),"NA")</f>
        <v>96</v>
      </c>
      <c r="K34" t="s" s="19">
        <f>IFERROR(VLOOKUP(I34,lookup!$A$1:$C$10000,3,FALSE),"NA")</f>
        <v>96</v>
      </c>
      <c r="L34" t="n" s="11">
        <v>642.24</v>
      </c>
      <c r="M34" t="n" s="17">
        <v>578.02</v>
      </c>
      <c r="N34" t="n" s="12">
        <v>899.0</v>
      </c>
      <c r="O34" t="n" s="15">
        <v>899.0</v>
      </c>
      <c r="P34" t="s" s="16">
        <v>222</v>
      </c>
    </row>
    <row r="35">
      <c r="A35" t="s" s="9">
        <v>142</v>
      </c>
      <c r="B35" t="s" s="10">
        <v>142</v>
      </c>
      <c r="C35" t="s" s="10">
        <v>142</v>
      </c>
      <c r="D35" t="s" s="10">
        <v>143</v>
      </c>
      <c r="E35" t="s" s="10">
        <v>137</v>
      </c>
      <c r="F35" t="s" s="16">
        <v>224</v>
      </c>
      <c r="G35" t="s" s="14">
        <v>144</v>
      </c>
      <c r="H35" t="s" s="13">
        <v>246</v>
      </c>
      <c r="I35" t="s" s="18">
        <v>116</v>
      </c>
      <c r="J35" t="s" s="19">
        <f>IFERROR(VLOOKUP(I35,lookup!$A$1:$C$10000,2,FALSE),"NA")</f>
        <v>117</v>
      </c>
      <c r="K35" t="s" s="19">
        <f>IFERROR(VLOOKUP(I35,lookup!$A$1:$C$10000,3,FALSE),"NA")</f>
        <v>118</v>
      </c>
      <c r="L35" t="n" s="11">
        <v>143.13</v>
      </c>
      <c r="M35" t="n" s="17">
        <v>128.82</v>
      </c>
      <c r="N35" t="n" s="12">
        <v>519.0</v>
      </c>
      <c r="O35" t="n" s="15">
        <v>519.0</v>
      </c>
      <c r="P35" t="s" s="16">
        <v>145</v>
      </c>
    </row>
    <row r="36">
      <c r="A36" t="s" s="9">
        <v>225</v>
      </c>
      <c r="B36" t="s" s="10">
        <v>225</v>
      </c>
      <c r="C36" t="s" s="10">
        <v>225</v>
      </c>
      <c r="D36" t="s" s="10">
        <v>226</v>
      </c>
      <c r="E36" t="s" s="10">
        <v>91</v>
      </c>
      <c r="F36" t="s" s="16">
        <v>229</v>
      </c>
      <c r="G36" t="s" s="14">
        <v>227</v>
      </c>
      <c r="H36" t="s" s="13">
        <v>246</v>
      </c>
      <c r="I36" t="s" s="18">
        <v>109</v>
      </c>
      <c r="J36" t="s" s="19">
        <f>IFERROR(VLOOKUP(I36,lookup!$A$1:$C$10000,2,FALSE),"NA")</f>
        <v>96</v>
      </c>
      <c r="K36" t="s" s="19">
        <f>IFERROR(VLOOKUP(I36,lookup!$A$1:$C$10000,3,FALSE),"NA")</f>
        <v>96</v>
      </c>
      <c r="L36" t="n" s="11">
        <v>153.72</v>
      </c>
      <c r="M36" t="n" s="17">
        <v>138.35</v>
      </c>
      <c r="N36" t="n" s="12">
        <v>341.0</v>
      </c>
      <c r="O36" t="n" s="15">
        <v>341.0</v>
      </c>
      <c r="P36" t="s" s="16">
        <v>228</v>
      </c>
    </row>
    <row r="37">
      <c r="A37" t="s" s="9">
        <v>175</v>
      </c>
      <c r="B37" t="s" s="10">
        <v>175</v>
      </c>
      <c r="C37" t="s" s="10">
        <v>175</v>
      </c>
      <c r="D37" t="s" s="10">
        <v>176</v>
      </c>
      <c r="E37" t="s" s="10">
        <v>91</v>
      </c>
      <c r="F37" t="s" s="16">
        <v>230</v>
      </c>
      <c r="G37" t="s" s="14">
        <v>177</v>
      </c>
      <c r="H37" t="s" s="13">
        <v>246</v>
      </c>
      <c r="I37" t="s" s="18">
        <v>109</v>
      </c>
      <c r="J37" t="s" s="19">
        <f>IFERROR(VLOOKUP(I37,lookup!$A$1:$C$10000,2,FALSE),"NA")</f>
        <v>96</v>
      </c>
      <c r="K37" t="s" s="19">
        <f>IFERROR(VLOOKUP(I37,lookup!$A$1:$C$10000,3,FALSE),"NA")</f>
        <v>96</v>
      </c>
      <c r="L37" t="n" s="11">
        <v>1070.17</v>
      </c>
      <c r="M37" t="n" s="17">
        <v>963.15</v>
      </c>
      <c r="N37" t="n" s="12">
        <v>708.0</v>
      </c>
      <c r="O37" t="n" s="15">
        <v>708.0</v>
      </c>
      <c r="P37" t="s" s="16">
        <v>178</v>
      </c>
    </row>
    <row r="38">
      <c r="A38" t="s" s="9">
        <v>130</v>
      </c>
      <c r="B38" t="s" s="10">
        <v>130</v>
      </c>
      <c r="C38" t="s" s="10">
        <v>130</v>
      </c>
      <c r="D38" t="s" s="10">
        <v>131</v>
      </c>
      <c r="E38" t="s" s="10">
        <v>137</v>
      </c>
      <c r="F38" t="s" s="16">
        <v>231</v>
      </c>
      <c r="G38" t="s" s="14">
        <v>132</v>
      </c>
      <c r="H38" t="s" s="13">
        <v>246</v>
      </c>
      <c r="I38" t="s" s="18">
        <v>116</v>
      </c>
      <c r="J38" t="s" s="19">
        <f>IFERROR(VLOOKUP(I38,lookup!$A$1:$C$10000,2,FALSE),"NA")</f>
        <v>117</v>
      </c>
      <c r="K38" t="s" s="19">
        <f>IFERROR(VLOOKUP(I38,lookup!$A$1:$C$10000,3,FALSE),"NA")</f>
        <v>118</v>
      </c>
      <c r="L38" t="n" s="11">
        <v>511.42</v>
      </c>
      <c r="M38" t="n" s="17">
        <v>460.28</v>
      </c>
      <c r="N38" t="n" s="12">
        <v>420.0</v>
      </c>
      <c r="O38" t="n" s="15">
        <v>420.0</v>
      </c>
      <c r="P38" t="s" s="16">
        <v>133</v>
      </c>
    </row>
    <row r="39">
      <c r="A39" t="s" s="9">
        <v>214</v>
      </c>
      <c r="B39" t="s" s="10">
        <v>214</v>
      </c>
      <c r="C39" t="s" s="10">
        <v>214</v>
      </c>
      <c r="D39" t="s" s="10">
        <v>215</v>
      </c>
      <c r="E39" t="s" s="10">
        <v>91</v>
      </c>
      <c r="F39" t="s" s="16">
        <v>232</v>
      </c>
      <c r="G39" t="s" s="14">
        <v>216</v>
      </c>
      <c r="H39" t="s" s="13">
        <v>246</v>
      </c>
      <c r="I39" t="s" s="18">
        <v>109</v>
      </c>
      <c r="J39" t="s" s="19">
        <f>IFERROR(VLOOKUP(I39,lookup!$A$1:$C$10000,2,FALSE),"NA")</f>
        <v>96</v>
      </c>
      <c r="K39" t="s" s="19">
        <f>IFERROR(VLOOKUP(I39,lookup!$A$1:$C$10000,3,FALSE),"NA")</f>
        <v>96</v>
      </c>
      <c r="L39" t="n" s="11">
        <v>119.22</v>
      </c>
      <c r="M39" t="n" s="17">
        <v>107.3</v>
      </c>
      <c r="N39" t="n" s="12">
        <v>881.0</v>
      </c>
      <c r="O39" t="n" s="15">
        <v>881.0</v>
      </c>
      <c r="P39" t="s" s="16">
        <v>217</v>
      </c>
    </row>
    <row r="40">
      <c r="A40" t="s" s="9">
        <v>147</v>
      </c>
      <c r="B40" t="s" s="10">
        <v>147</v>
      </c>
      <c r="C40" t="s" s="10">
        <v>147</v>
      </c>
      <c r="D40" t="s" s="10">
        <v>148</v>
      </c>
      <c r="E40" t="s" s="10">
        <v>91</v>
      </c>
      <c r="F40" t="s" s="16">
        <v>233</v>
      </c>
      <c r="G40" t="s" s="14">
        <v>149</v>
      </c>
      <c r="H40" t="s" s="13">
        <v>246</v>
      </c>
      <c r="I40" t="s" s="18">
        <v>109</v>
      </c>
      <c r="J40" t="s" s="19">
        <f>IFERROR(VLOOKUP(I40,lookup!$A$1:$C$10000,2,FALSE),"NA")</f>
        <v>96</v>
      </c>
      <c r="K40" t="s" s="19">
        <f>IFERROR(VLOOKUP(I40,lookup!$A$1:$C$10000,3,FALSE),"NA")</f>
        <v>96</v>
      </c>
      <c r="L40" t="n" s="11">
        <v>290.17</v>
      </c>
      <c r="M40" t="n" s="17">
        <v>261.15</v>
      </c>
      <c r="N40" t="n" s="12">
        <v>869.0</v>
      </c>
      <c r="O40" t="n" s="15">
        <v>869.0</v>
      </c>
      <c r="P40" t="s" s="16">
        <v>150</v>
      </c>
    </row>
    <row r="41">
      <c r="A41" t="s" s="9">
        <v>225</v>
      </c>
      <c r="B41" t="s" s="10">
        <v>225</v>
      </c>
      <c r="C41" t="s" s="10">
        <v>225</v>
      </c>
      <c r="D41" t="s" s="10">
        <v>226</v>
      </c>
      <c r="E41" t="s" s="10">
        <v>137</v>
      </c>
      <c r="F41" t="s" s="16">
        <v>234</v>
      </c>
      <c r="G41" t="s" s="14">
        <v>227</v>
      </c>
      <c r="H41" t="s" s="13">
        <v>246</v>
      </c>
      <c r="I41" t="s" s="18">
        <v>116</v>
      </c>
      <c r="J41" t="s" s="19">
        <f>IFERROR(VLOOKUP(I41,lookup!$A$1:$C$10000,2,FALSE),"NA")</f>
        <v>117</v>
      </c>
      <c r="K41" t="s" s="19">
        <f>IFERROR(VLOOKUP(I41,lookup!$A$1:$C$10000,3,FALSE),"NA")</f>
        <v>118</v>
      </c>
      <c r="L41" t="n" s="11">
        <v>153.72</v>
      </c>
      <c r="M41" t="n" s="17">
        <v>138.35</v>
      </c>
      <c r="N41" t="n" s="12">
        <v>341.0</v>
      </c>
      <c r="O41" t="n" s="15">
        <v>341.0</v>
      </c>
      <c r="P41" t="s" s="16">
        <v>228</v>
      </c>
    </row>
    <row r="42">
      <c r="A42" t="s" s="9">
        <v>235</v>
      </c>
      <c r="B42" t="s" s="10">
        <v>235</v>
      </c>
      <c r="C42" t="s" s="10">
        <v>235</v>
      </c>
      <c r="D42" t="s" s="10">
        <v>236</v>
      </c>
      <c r="E42" t="s" s="10">
        <v>137</v>
      </c>
      <c r="F42" t="s" s="16">
        <v>239</v>
      </c>
      <c r="G42" t="s" s="14">
        <v>237</v>
      </c>
      <c r="H42" t="s" s="13">
        <v>246</v>
      </c>
      <c r="I42" t="s" s="18">
        <v>116</v>
      </c>
      <c r="J42" t="s" s="19">
        <f>IFERROR(VLOOKUP(I42,lookup!$A$1:$C$10000,2,FALSE),"NA")</f>
        <v>117</v>
      </c>
      <c r="K42" t="s" s="19">
        <f>IFERROR(VLOOKUP(I42,lookup!$A$1:$C$10000,3,FALSE),"NA")</f>
        <v>118</v>
      </c>
      <c r="L42" t="n" s="11">
        <v>580.52</v>
      </c>
      <c r="M42" t="n" s="17">
        <v>522.47</v>
      </c>
      <c r="N42" t="n" s="12">
        <v>217.0</v>
      </c>
      <c r="O42" t="n" s="15">
        <v>217.0</v>
      </c>
      <c r="P42" t="s" s="16">
        <v>238</v>
      </c>
    </row>
    <row r="43">
      <c r="A43" t="s" s="9">
        <v>152</v>
      </c>
      <c r="B43" t="s" s="10">
        <v>152</v>
      </c>
      <c r="C43" t="s" s="10">
        <v>152</v>
      </c>
      <c r="D43" t="s" s="10">
        <v>153</v>
      </c>
      <c r="E43" t="s" s="10">
        <v>137</v>
      </c>
      <c r="F43" t="s" s="16">
        <v>240</v>
      </c>
      <c r="G43" t="s" s="14">
        <v>154</v>
      </c>
      <c r="H43" t="s" s="13">
        <v>246</v>
      </c>
      <c r="I43" t="s" s="18">
        <v>116</v>
      </c>
      <c r="J43" t="s" s="19">
        <f>IFERROR(VLOOKUP(I43,lookup!$A$1:$C$10000,2,FALSE),"NA")</f>
        <v>117</v>
      </c>
      <c r="K43" t="s" s="19">
        <f>IFERROR(VLOOKUP(I43,lookup!$A$1:$C$10000,3,FALSE),"NA")</f>
        <v>118</v>
      </c>
      <c r="L43" t="n" s="11">
        <v>467.67</v>
      </c>
      <c r="M43" t="n" s="17">
        <v>420.9</v>
      </c>
      <c r="N43" t="n" s="12">
        <v>441.0</v>
      </c>
      <c r="O43" t="n" s="15">
        <v>441.0</v>
      </c>
      <c r="P43" t="s" s="16">
        <v>155</v>
      </c>
    </row>
    <row r="44">
      <c r="A44" t="s" s="9">
        <v>235</v>
      </c>
      <c r="B44" t="s" s="10">
        <v>235</v>
      </c>
      <c r="C44" t="s" s="10">
        <v>235</v>
      </c>
      <c r="D44" t="s" s="10">
        <v>236</v>
      </c>
      <c r="E44" t="s" s="10">
        <v>91</v>
      </c>
      <c r="F44" t="s" s="16">
        <v>241</v>
      </c>
      <c r="G44" t="s" s="14">
        <v>237</v>
      </c>
      <c r="H44" t="s" s="13">
        <v>246</v>
      </c>
      <c r="I44" t="s" s="18">
        <v>109</v>
      </c>
      <c r="J44" t="s" s="19">
        <f>IFERROR(VLOOKUP(I44,lookup!$A$1:$C$10000,2,FALSE),"NA")</f>
        <v>96</v>
      </c>
      <c r="K44" t="s" s="19">
        <f>IFERROR(VLOOKUP(I44,lookup!$A$1:$C$10000,3,FALSE),"NA")</f>
        <v>96</v>
      </c>
      <c r="L44" t="n" s="11">
        <v>580.52</v>
      </c>
      <c r="M44" t="n" s="17">
        <v>522.47</v>
      </c>
      <c r="N44" t="n" s="12">
        <v>217.0</v>
      </c>
      <c r="O44" t="n" s="15">
        <v>217.0</v>
      </c>
      <c r="P44" t="s" s="16">
        <v>238</v>
      </c>
    </row>
    <row r="45">
      <c r="A45" t="s" s="9">
        <v>157</v>
      </c>
      <c r="B45" t="s" s="10">
        <v>157</v>
      </c>
      <c r="C45" t="s" s="10">
        <v>157</v>
      </c>
      <c r="D45" t="s" s="10">
        <v>158</v>
      </c>
      <c r="E45" t="s" s="10">
        <v>137</v>
      </c>
      <c r="F45" t="s" s="16">
        <v>242</v>
      </c>
      <c r="G45" t="s" s="14">
        <v>159</v>
      </c>
      <c r="H45" t="s" s="13">
        <v>246</v>
      </c>
      <c r="I45" t="s" s="18">
        <v>101</v>
      </c>
      <c r="J45" t="s" s="19">
        <f>IFERROR(VLOOKUP(I45,lookup!$A$1:$C$10000,2,FALSE),"NA")</f>
        <v>102</v>
      </c>
      <c r="K45" t="s" s="19">
        <f>IFERROR(VLOOKUP(I45,lookup!$A$1:$C$10000,3,FALSE),"NA")</f>
        <v>103</v>
      </c>
      <c r="L45" t="n" s="11">
        <v>132.9</v>
      </c>
      <c r="M45" t="n" s="17">
        <v>119.61</v>
      </c>
      <c r="N45" t="n" s="12">
        <v>555.0</v>
      </c>
      <c r="O45" t="n" s="15">
        <v>555.0</v>
      </c>
      <c r="P45" t="s" s="16">
        <v>160</v>
      </c>
    </row>
    <row r="46">
      <c r="A46" t="s" s="9">
        <v>219</v>
      </c>
      <c r="B46" t="s" s="10">
        <v>219</v>
      </c>
      <c r="C46" t="s" s="10">
        <v>219</v>
      </c>
      <c r="D46" t="s" s="10">
        <v>220</v>
      </c>
      <c r="E46" t="s" s="10">
        <v>137</v>
      </c>
      <c r="F46" t="s" s="16">
        <v>243</v>
      </c>
      <c r="G46" t="s" s="14">
        <v>221</v>
      </c>
      <c r="H46" t="s" s="13">
        <v>246</v>
      </c>
      <c r="I46" t="s" s="18">
        <v>101</v>
      </c>
      <c r="J46" t="s" s="19">
        <f>IFERROR(VLOOKUP(I46,lookup!$A$1:$C$10000,2,FALSE),"NA")</f>
        <v>102</v>
      </c>
      <c r="K46" t="s" s="19">
        <f>IFERROR(VLOOKUP(I46,lookup!$A$1:$C$10000,3,FALSE),"NA")</f>
        <v>103</v>
      </c>
      <c r="L46" t="n" s="11">
        <v>642.24</v>
      </c>
      <c r="M46" t="n" s="17">
        <v>578.02</v>
      </c>
      <c r="N46" t="n" s="12">
        <v>899.0</v>
      </c>
      <c r="O46" t="n" s="15">
        <v>899.0</v>
      </c>
      <c r="P46" t="s" s="16">
        <v>222</v>
      </c>
    </row>
    <row r="47">
      <c r="A47" t="s" s="9">
        <v>191</v>
      </c>
      <c r="B47" t="s" s="10">
        <v>191</v>
      </c>
      <c r="C47" t="s" s="10">
        <v>191</v>
      </c>
      <c r="D47" t="s" s="10">
        <v>192</v>
      </c>
      <c r="E47" t="s" s="10">
        <v>137</v>
      </c>
      <c r="F47" t="s" s="16">
        <v>245</v>
      </c>
      <c r="G47" t="s" s="14">
        <v>193</v>
      </c>
      <c r="H47" t="s" s="13">
        <v>246</v>
      </c>
      <c r="I47" t="s" s="18">
        <v>116</v>
      </c>
      <c r="J47" t="s" s="19">
        <f>IFERROR(VLOOKUP(I47,lookup!$A$1:$C$10000,2,FALSE),"NA")</f>
        <v>117</v>
      </c>
      <c r="K47" t="s" s="19">
        <f>IFERROR(VLOOKUP(I47,lookup!$A$1:$C$10000,3,FALSE),"NA")</f>
        <v>118</v>
      </c>
      <c r="L47" t="n" s="11">
        <v>616.18</v>
      </c>
      <c r="M47" t="n" s="17">
        <v>554.56</v>
      </c>
      <c r="N47" t="n" s="12">
        <v>904.0</v>
      </c>
      <c r="O47" t="n" s="15">
        <v>904.0</v>
      </c>
      <c r="P47" t="s" s="16">
        <v>194</v>
      </c>
    </row>
  </sheetData>
  <sheetProtection autoFilter="false" deleteColumns="true" deleteRows="true" formatCells="true" formatColumns="false" formatRows="true" insertColumns="true" insertHyperlinks="true" insertRows="true" pivotTables="true" sort="false" selectLockedCells="false" selectUnlockedCells="false" sheet="true" password="0000" scenarios="true" objects="true"/>
  <autoFilter ref="A4:P4"/>
  <mergeCells count="3">
    <mergeCell ref="A3:E3"/>
    <mergeCell ref="F3:P3"/>
    <mergeCell ref="B2:I2"/>
  </mergeCells>
  <dataValidations count="84">
    <dataValidation type="list" sqref="H6" allowBlank="true" errorStyle="stop" showDropDown="false">
      <formula1>DropdownRange_0</formula1>
    </dataValidation>
    <dataValidation type="list" sqref="H7" allowBlank="true" errorStyle="stop" showDropDown="false">
      <formula1>DropdownRange_0</formula1>
    </dataValidation>
    <dataValidation type="list" sqref="H8" allowBlank="true" errorStyle="stop" showDropDown="false">
      <formula1>DropdownRange_0</formula1>
    </dataValidation>
    <dataValidation type="list" sqref="H9" allowBlank="true" errorStyle="stop" showDropDown="false">
      <formula1>DropdownRange_0</formula1>
    </dataValidation>
    <dataValidation type="list" sqref="H10" allowBlank="true" errorStyle="stop" showDropDown="false">
      <formula1>DropdownRange_0</formula1>
    </dataValidation>
    <dataValidation type="list" sqref="H11" allowBlank="true" errorStyle="stop" showDropDown="false">
      <formula1>DropdownRange_0</formula1>
    </dataValidation>
    <dataValidation type="list" sqref="H12" allowBlank="true" errorStyle="stop" showDropDown="false">
      <formula1>DropdownRange_0</formula1>
    </dataValidation>
    <dataValidation type="list" sqref="H13" allowBlank="true" errorStyle="stop" showDropDown="false">
      <formula1>DropdownRange_0</formula1>
    </dataValidation>
    <dataValidation type="list" sqref="H14" allowBlank="true" errorStyle="stop" showDropDown="false">
      <formula1>DropdownRange_0</formula1>
    </dataValidation>
    <dataValidation type="list" sqref="H15" allowBlank="true" errorStyle="stop" showDropDown="false">
      <formula1>DropdownRange_0</formula1>
    </dataValidation>
    <dataValidation type="list" sqref="H16" allowBlank="true" errorStyle="stop" showDropDown="false">
      <formula1>DropdownRange_0</formula1>
    </dataValidation>
    <dataValidation type="list" sqref="H17" allowBlank="true" errorStyle="stop" showDropDown="false">
      <formula1>DropdownRange_0</formula1>
    </dataValidation>
    <dataValidation type="list" sqref="H18" allowBlank="true" errorStyle="stop" showDropDown="false">
      <formula1>DropdownRange_0</formula1>
    </dataValidation>
    <dataValidation type="list" sqref="H19" allowBlank="true" errorStyle="stop" showDropDown="false">
      <formula1>DropdownRange_0</formula1>
    </dataValidation>
    <dataValidation type="list" sqref="H20" allowBlank="true" errorStyle="stop" showDropDown="false">
      <formula1>DropdownRange_0</formula1>
    </dataValidation>
    <dataValidation type="list" sqref="H21" allowBlank="true" errorStyle="stop" showDropDown="false">
      <formula1>DropdownRange_0</formula1>
    </dataValidation>
    <dataValidation type="list" sqref="H22" allowBlank="true" errorStyle="stop" showDropDown="false">
      <formula1>DropdownRange_0</formula1>
    </dataValidation>
    <dataValidation type="list" sqref="H23" allowBlank="true" errorStyle="stop" showDropDown="false">
      <formula1>DropdownRange_0</formula1>
    </dataValidation>
    <dataValidation type="list" sqref="H24" allowBlank="true" errorStyle="stop" showDropDown="false">
      <formula1>DropdownRange_0</formula1>
    </dataValidation>
    <dataValidation type="list" sqref="H25" allowBlank="true" errorStyle="stop" showDropDown="false">
      <formula1>DropdownRange_0</formula1>
    </dataValidation>
    <dataValidation type="list" sqref="H26" allowBlank="true" errorStyle="stop" showDropDown="false">
      <formula1>DropdownRange_0</formula1>
    </dataValidation>
    <dataValidation type="list" sqref="H27" allowBlank="true" errorStyle="stop" showDropDown="false">
      <formula1>DropdownRange_0</formula1>
    </dataValidation>
    <dataValidation type="list" sqref="H28" allowBlank="true" errorStyle="stop" showDropDown="false">
      <formula1>DropdownRange_0</formula1>
    </dataValidation>
    <dataValidation type="list" sqref="H29" allowBlank="true" errorStyle="stop" showDropDown="false">
      <formula1>DropdownRange_0</formula1>
    </dataValidation>
    <dataValidation type="list" sqref="H30" allowBlank="true" errorStyle="stop" showDropDown="false">
      <formula1>DropdownRange_0</formula1>
    </dataValidation>
    <dataValidation type="list" sqref="H31" allowBlank="true" errorStyle="stop" showDropDown="false">
      <formula1>DropdownRange_0</formula1>
    </dataValidation>
    <dataValidation type="list" sqref="H32" allowBlank="true" errorStyle="stop" showDropDown="false">
      <formula1>DropdownRange_0</formula1>
    </dataValidation>
    <dataValidation type="list" sqref="H33" allowBlank="true" errorStyle="stop" showDropDown="false">
      <formula1>DropdownRange_0</formula1>
    </dataValidation>
    <dataValidation type="list" sqref="H34" allowBlank="true" errorStyle="stop" showDropDown="false">
      <formula1>DropdownRange_0</formula1>
    </dataValidation>
    <dataValidation type="list" sqref="H35" allowBlank="true" errorStyle="stop" showDropDown="false">
      <formula1>DropdownRange_0</formula1>
    </dataValidation>
    <dataValidation type="list" sqref="H36" allowBlank="true" errorStyle="stop" showDropDown="false">
      <formula1>DropdownRange_0</formula1>
    </dataValidation>
    <dataValidation type="list" sqref="H37" allowBlank="true" errorStyle="stop" showDropDown="false">
      <formula1>DropdownRange_0</formula1>
    </dataValidation>
    <dataValidation type="list" sqref="H38" allowBlank="true" errorStyle="stop" showDropDown="false">
      <formula1>DropdownRange_0</formula1>
    </dataValidation>
    <dataValidation type="list" sqref="H39" allowBlank="true" errorStyle="stop" showDropDown="false">
      <formula1>DropdownRange_0</formula1>
    </dataValidation>
    <dataValidation type="list" sqref="H40" allowBlank="true" errorStyle="stop" showDropDown="false">
      <formula1>DropdownRange_0</formula1>
    </dataValidation>
    <dataValidation type="list" sqref="H41" allowBlank="true" errorStyle="stop" showDropDown="false">
      <formula1>DropdownRange_0</formula1>
    </dataValidation>
    <dataValidation type="list" sqref="H42" allowBlank="true" errorStyle="stop" showDropDown="false">
      <formula1>DropdownRange_0</formula1>
    </dataValidation>
    <dataValidation type="list" sqref="H43" allowBlank="true" errorStyle="stop" showDropDown="false">
      <formula1>DropdownRange_0</formula1>
    </dataValidation>
    <dataValidation type="list" sqref="H44" allowBlank="true" errorStyle="stop" showDropDown="false">
      <formula1>DropdownRange_0</formula1>
    </dataValidation>
    <dataValidation type="list" sqref="H45" allowBlank="true" errorStyle="stop" showDropDown="false">
      <formula1>DropdownRange_0</formula1>
    </dataValidation>
    <dataValidation type="list" sqref="H46" allowBlank="true" errorStyle="stop" showDropDown="false">
      <formula1>DropdownRange_0</formula1>
    </dataValidation>
    <dataValidation type="list" sqref="H47" allowBlank="true" errorStyle="stop" showDropDown="false">
      <formula1>DropdownRange_0</formula1>
    </dataValidation>
    <dataValidation type="list" sqref="I6" allowBlank="true" errorStyle="stop" showDropDown="false">
      <formula1>DropdownRange_1</formula1>
    </dataValidation>
    <dataValidation type="list" sqref="I7" allowBlank="true" errorStyle="stop" showDropDown="false">
      <formula1>DropdownRange_2</formula1>
    </dataValidation>
    <dataValidation type="list" sqref="I8" allowBlank="true" errorStyle="stop" showDropDown="false">
      <formula1>DropdownRange_1</formula1>
    </dataValidation>
    <dataValidation type="list" sqref="I9" allowBlank="true" errorStyle="stop" showDropDown="false">
      <formula1>DropdownRange_1</formula1>
    </dataValidation>
    <dataValidation type="list" sqref="I10" allowBlank="true" errorStyle="stop" showDropDown="false">
      <formula1>DropdownRange_3</formula1>
    </dataValidation>
    <dataValidation type="list" sqref="I11" allowBlank="true" errorStyle="stop" showDropDown="false">
      <formula1>DropdownRange_1</formula1>
    </dataValidation>
    <dataValidation type="list" sqref="I12" allowBlank="true" errorStyle="stop" showDropDown="false">
      <formula1>DropdownRange_3</formula1>
    </dataValidation>
    <dataValidation type="list" sqref="I13" allowBlank="true" errorStyle="stop" showDropDown="false">
      <formula1>DropdownRange_1</formula1>
    </dataValidation>
    <dataValidation type="list" sqref="I14" allowBlank="true" errorStyle="stop" showDropDown="false">
      <formula1>DropdownRange_1</formula1>
    </dataValidation>
    <dataValidation type="list" sqref="I15" allowBlank="true" errorStyle="stop" showDropDown="false">
      <formula1>DropdownRange_3</formula1>
    </dataValidation>
    <dataValidation type="list" sqref="I16" allowBlank="true" errorStyle="stop" showDropDown="false">
      <formula1>DropdownRange_1</formula1>
    </dataValidation>
    <dataValidation type="list" sqref="I17" allowBlank="true" errorStyle="stop" showDropDown="false">
      <formula1>DropdownRange_3</formula1>
    </dataValidation>
    <dataValidation type="list" sqref="I18" allowBlank="true" errorStyle="stop" showDropDown="false">
      <formula1>DropdownRange_1</formula1>
    </dataValidation>
    <dataValidation type="list" sqref="I19" allowBlank="true" errorStyle="stop" showDropDown="false">
      <formula1>DropdownRange_1</formula1>
    </dataValidation>
    <dataValidation type="list" sqref="I20" allowBlank="true" errorStyle="stop" showDropDown="false">
      <formula1>DropdownRange_4</formula1>
    </dataValidation>
    <dataValidation type="list" sqref="I21" allowBlank="true" errorStyle="stop" showDropDown="false">
      <formula1>DropdownRange_3</formula1>
    </dataValidation>
    <dataValidation type="list" sqref="I22" allowBlank="true" errorStyle="stop" showDropDown="false">
      <formula1>DropdownRange_3</formula1>
    </dataValidation>
    <dataValidation type="list" sqref="I23" allowBlank="true" errorStyle="stop" showDropDown="false">
      <formula1>DropdownRange_2</formula1>
    </dataValidation>
    <dataValidation type="list" sqref="I24" allowBlank="true" errorStyle="stop" showDropDown="false">
      <formula1>DropdownRange_1</formula1>
    </dataValidation>
    <dataValidation type="list" sqref="I25" allowBlank="true" errorStyle="stop" showDropDown="false">
      <formula1>DropdownRange_1</formula1>
    </dataValidation>
    <dataValidation type="list" sqref="I26" allowBlank="true" errorStyle="stop" showDropDown="false">
      <formula1>DropdownRange_4</formula1>
    </dataValidation>
    <dataValidation type="list" sqref="I27" allowBlank="true" errorStyle="stop" showDropDown="false">
      <formula1>DropdownRange_2</formula1>
    </dataValidation>
    <dataValidation type="list" sqref="I28" allowBlank="true" errorStyle="stop" showDropDown="false">
      <formula1>DropdownRange_5</formula1>
    </dataValidation>
    <dataValidation type="list" sqref="I29" allowBlank="true" errorStyle="stop" showDropDown="false">
      <formula1>DropdownRange_5</formula1>
    </dataValidation>
    <dataValidation type="list" sqref="I30" allowBlank="true" errorStyle="stop" showDropDown="false">
      <formula1>DropdownRange_4</formula1>
    </dataValidation>
    <dataValidation type="list" sqref="I31" allowBlank="true" errorStyle="stop" showDropDown="false">
      <formula1>DropdownRange_4</formula1>
    </dataValidation>
    <dataValidation type="list" sqref="I32" allowBlank="true" errorStyle="stop" showDropDown="false">
      <formula1>DropdownRange_1</formula1>
    </dataValidation>
    <dataValidation type="list" sqref="I33" allowBlank="true" errorStyle="stop" showDropDown="false">
      <formula1>DropdownRange_3</formula1>
    </dataValidation>
    <dataValidation type="list" sqref="I34" allowBlank="true" errorStyle="stop" showDropDown="false">
      <formula1>DropdownRange_1</formula1>
    </dataValidation>
    <dataValidation type="list" sqref="I35" allowBlank="true" errorStyle="stop" showDropDown="false">
      <formula1>DropdownRange_4</formula1>
    </dataValidation>
    <dataValidation type="list" sqref="I36" allowBlank="true" errorStyle="stop" showDropDown="false">
      <formula1>DropdownRange_1</formula1>
    </dataValidation>
    <dataValidation type="list" sqref="I37" allowBlank="true" errorStyle="stop" showDropDown="false">
      <formula1>DropdownRange_1</formula1>
    </dataValidation>
    <dataValidation type="list" sqref="I38" allowBlank="true" errorStyle="stop" showDropDown="false">
      <formula1>DropdownRange_4</formula1>
    </dataValidation>
    <dataValidation type="list" sqref="I39" allowBlank="true" errorStyle="stop" showDropDown="false">
      <formula1>DropdownRange_1</formula1>
    </dataValidation>
    <dataValidation type="list" sqref="I40" allowBlank="true" errorStyle="stop" showDropDown="false">
      <formula1>DropdownRange_1</formula1>
    </dataValidation>
    <dataValidation type="list" sqref="I41" allowBlank="true" errorStyle="stop" showDropDown="false">
      <formula1>DropdownRange_4</formula1>
    </dataValidation>
    <dataValidation type="list" sqref="I42" allowBlank="true" errorStyle="stop" showDropDown="false">
      <formula1>DropdownRange_4</formula1>
    </dataValidation>
    <dataValidation type="list" sqref="I43" allowBlank="true" errorStyle="stop" showDropDown="false">
      <formula1>DropdownRange_4</formula1>
    </dataValidation>
    <dataValidation type="list" sqref="I44" allowBlank="true" errorStyle="stop" showDropDown="false">
      <formula1>DropdownRange_1</formula1>
    </dataValidation>
    <dataValidation type="list" sqref="I45" allowBlank="true" errorStyle="stop" showDropDown="false">
      <formula1>DropdownRange_3</formula1>
    </dataValidation>
    <dataValidation type="list" sqref="I46" allowBlank="true" errorStyle="stop" showDropDown="false">
      <formula1>DropdownRange_3</formula1>
    </dataValidation>
    <dataValidation type="list" sqref="I47" allowBlank="true" errorStyle="stop" showDropDown="false">
      <formula1>DropdownRange_6</formula1>
    </dataValidation>
  </dataValidations>
  <pageMargins bottom="0.75" footer="0.3" header="0.3" left="0.7" right="0.7" top="0.75"/>
</worksheet>
</file>

<file path=xl/worksheets/sheet4.xml><?xml version="1.0" encoding="utf-8"?>
<worksheet xmlns="http://schemas.openxmlformats.org/spreadsheetml/2006/main">
  <dimension ref="A1:G9"/>
  <sheetViews>
    <sheetView workbookViewId="0"/>
  </sheetViews>
  <sheetFormatPr defaultRowHeight="15.0"/>
  <sheetData>
    <row r="1">
      <c r="A1" t="s" s="0">
        <v>246</v>
      </c>
      <c r="B1" t="s" s="0">
        <v>109</v>
      </c>
      <c r="C1" t="s" s="0">
        <v>109</v>
      </c>
      <c r="D1" t="s" s="0">
        <v>101</v>
      </c>
      <c r="E1" t="s" s="0">
        <v>116</v>
      </c>
      <c r="F1" t="s" s="0">
        <v>101</v>
      </c>
      <c r="G1" t="s" s="0">
        <v>116</v>
      </c>
    </row>
    <row r="2">
      <c r="A2" t="s" s="0">
        <v>247</v>
      </c>
      <c r="B2" t="s" s="0">
        <v>110</v>
      </c>
      <c r="C2" t="s" s="0">
        <v>110</v>
      </c>
      <c r="D2" t="s" s="0">
        <v>104</v>
      </c>
      <c r="E2" t="s" s="0">
        <v>104</v>
      </c>
      <c r="F2" t="s" s="0">
        <v>104</v>
      </c>
      <c r="G2" t="s" s="0">
        <v>104</v>
      </c>
    </row>
    <row r="3">
      <c r="B3" t="s" s="0">
        <v>111</v>
      </c>
      <c r="C3" t="s" s="0">
        <v>107</v>
      </c>
      <c r="F3" t="s" s="0">
        <v>107</v>
      </c>
      <c r="G3" t="s" s="0">
        <v>107</v>
      </c>
    </row>
    <row r="4">
      <c r="B4" t="s" s="0">
        <v>112</v>
      </c>
      <c r="C4" t="s" s="0">
        <v>111</v>
      </c>
      <c r="F4" t="s" s="0">
        <v>108</v>
      </c>
      <c r="G4" t="s" s="0">
        <v>108</v>
      </c>
    </row>
    <row r="5">
      <c r="B5" t="s" s="0">
        <v>113</v>
      </c>
      <c r="C5" t="s" s="0">
        <v>112</v>
      </c>
    </row>
    <row r="6">
      <c r="B6" t="s" s="0">
        <v>114</v>
      </c>
      <c r="C6" t="s" s="0">
        <v>113</v>
      </c>
    </row>
    <row r="7">
      <c r="B7" t="s" s="0">
        <v>115</v>
      </c>
      <c r="C7" t="s" s="0">
        <v>114</v>
      </c>
    </row>
    <row r="8">
      <c r="C8" t="s" s="0">
        <v>115</v>
      </c>
    </row>
    <row r="9">
      <c r="C9" t="s" s="0">
        <v>108</v>
      </c>
    </row>
  </sheetData>
  <pageMargins bottom="0.75" footer="0.3" header="0.3" left="0.7" right="0.7" top="0.75"/>
</worksheet>
</file>

<file path=xl/worksheets/sheet5.xml><?xml version="1.0" encoding="utf-8"?>
<worksheet xmlns="http://schemas.openxmlformats.org/spreadsheetml/2006/main">
  <dimension ref="A1:C202"/>
  <sheetViews>
    <sheetView workbookViewId="0"/>
  </sheetViews>
  <sheetFormatPr defaultRowHeight="15.0"/>
  <sheetData>
    <row r="1">
      <c r="A1" t="s" s="0">
        <v>98</v>
      </c>
      <c r="B1" t="s" s="0">
        <v>99</v>
      </c>
      <c r="C1" t="s" s="0">
        <v>100</v>
      </c>
    </row>
    <row r="2">
      <c r="A2" t="s" s="0">
        <v>101</v>
      </c>
      <c r="B2" t="s" s="0">
        <v>102</v>
      </c>
      <c r="C2" t="s" s="0">
        <v>103</v>
      </c>
    </row>
    <row r="3">
      <c r="A3" t="s" s="0">
        <v>104</v>
      </c>
      <c r="B3" t="s" s="0">
        <v>105</v>
      </c>
      <c r="C3" t="s" s="0">
        <v>106</v>
      </c>
    </row>
    <row r="4">
      <c r="A4" t="s" s="0">
        <v>107</v>
      </c>
      <c r="B4" t="s" s="0">
        <v>96</v>
      </c>
      <c r="C4" t="s" s="0">
        <v>96</v>
      </c>
    </row>
    <row r="5">
      <c r="A5" t="s" s="0">
        <v>108</v>
      </c>
      <c r="B5" t="s" s="0">
        <v>96</v>
      </c>
      <c r="C5" t="s" s="0">
        <v>96</v>
      </c>
    </row>
    <row r="6">
      <c r="A6" t="s" s="0">
        <v>109</v>
      </c>
      <c r="B6" t="s" s="0">
        <v>96</v>
      </c>
      <c r="C6" t="s" s="0">
        <v>96</v>
      </c>
    </row>
    <row r="7">
      <c r="A7" t="s" s="0">
        <v>110</v>
      </c>
      <c r="B7" t="s" s="0">
        <v>96</v>
      </c>
      <c r="C7" t="s" s="0">
        <v>96</v>
      </c>
    </row>
    <row r="8">
      <c r="A8" t="s" s="0">
        <v>107</v>
      </c>
      <c r="B8" t="s" s="0">
        <v>96</v>
      </c>
      <c r="C8" t="s" s="0">
        <v>96</v>
      </c>
    </row>
    <row r="9">
      <c r="A9" t="s" s="0">
        <v>111</v>
      </c>
      <c r="B9" t="s" s="0">
        <v>96</v>
      </c>
      <c r="C9" t="s" s="0">
        <v>96</v>
      </c>
    </row>
    <row r="10">
      <c r="A10" t="s" s="0">
        <v>112</v>
      </c>
      <c r="B10" t="s" s="0">
        <v>96</v>
      </c>
      <c r="C10" t="s" s="0">
        <v>96</v>
      </c>
    </row>
    <row r="11">
      <c r="A11" t="s" s="0">
        <v>113</v>
      </c>
      <c r="B11" t="s" s="0">
        <v>96</v>
      </c>
      <c r="C11" t="s" s="0">
        <v>96</v>
      </c>
    </row>
    <row r="12">
      <c r="A12" t="s" s="0">
        <v>114</v>
      </c>
      <c r="B12" t="s" s="0">
        <v>96</v>
      </c>
      <c r="C12" t="s" s="0">
        <v>96</v>
      </c>
    </row>
    <row r="13">
      <c r="A13" t="s" s="0">
        <v>115</v>
      </c>
      <c r="B13" t="s" s="0">
        <v>96</v>
      </c>
      <c r="C13" t="s" s="0">
        <v>96</v>
      </c>
    </row>
    <row r="14">
      <c r="A14" t="s" s="0">
        <v>108</v>
      </c>
      <c r="B14" t="s" s="0">
        <v>96</v>
      </c>
      <c r="C14" t="s" s="0">
        <v>96</v>
      </c>
    </row>
    <row r="15">
      <c r="A15" t="s" s="0">
        <v>116</v>
      </c>
      <c r="B15" t="s" s="0">
        <v>117</v>
      </c>
      <c r="C15" t="s" s="0">
        <v>118</v>
      </c>
    </row>
    <row r="16">
      <c r="A16" t="s" s="0">
        <v>104</v>
      </c>
      <c r="B16" t="s" s="0">
        <v>105</v>
      </c>
      <c r="C16" t="s" s="0">
        <v>106</v>
      </c>
    </row>
    <row r="17">
      <c r="A17" t="s" s="0">
        <v>107</v>
      </c>
      <c r="B17" t="s" s="0">
        <v>96</v>
      </c>
      <c r="C17" t="s" s="0">
        <v>96</v>
      </c>
    </row>
    <row r="18">
      <c r="A18" t="s" s="0">
        <v>108</v>
      </c>
      <c r="B18" t="s" s="0">
        <v>96</v>
      </c>
      <c r="C18" t="s" s="0">
        <v>96</v>
      </c>
    </row>
    <row r="19">
      <c r="A19" t="s" s="0">
        <v>109</v>
      </c>
      <c r="B19" t="s" s="0">
        <v>96</v>
      </c>
      <c r="C19" t="s" s="0">
        <v>96</v>
      </c>
    </row>
    <row r="20">
      <c r="A20" t="s" s="0">
        <v>110</v>
      </c>
      <c r="B20" t="s" s="0">
        <v>96</v>
      </c>
      <c r="C20" t="s" s="0">
        <v>96</v>
      </c>
    </row>
    <row r="21">
      <c r="A21" t="s" s="0">
        <v>107</v>
      </c>
      <c r="B21" t="s" s="0">
        <v>96</v>
      </c>
      <c r="C21" t="s" s="0">
        <v>96</v>
      </c>
    </row>
    <row r="22">
      <c r="A22" t="s" s="0">
        <v>111</v>
      </c>
      <c r="B22" t="s" s="0">
        <v>96</v>
      </c>
      <c r="C22" t="s" s="0">
        <v>96</v>
      </c>
    </row>
    <row r="23">
      <c r="A23" t="s" s="0">
        <v>112</v>
      </c>
      <c r="B23" t="s" s="0">
        <v>96</v>
      </c>
      <c r="C23" t="s" s="0">
        <v>96</v>
      </c>
    </row>
    <row r="24">
      <c r="A24" t="s" s="0">
        <v>113</v>
      </c>
      <c r="B24" t="s" s="0">
        <v>96</v>
      </c>
      <c r="C24" t="s" s="0">
        <v>96</v>
      </c>
    </row>
    <row r="25">
      <c r="A25" t="s" s="0">
        <v>114</v>
      </c>
      <c r="B25" t="s" s="0">
        <v>96</v>
      </c>
      <c r="C25" t="s" s="0">
        <v>96</v>
      </c>
    </row>
    <row r="26">
      <c r="A26" t="s" s="0">
        <v>115</v>
      </c>
      <c r="B26" t="s" s="0">
        <v>96</v>
      </c>
      <c r="C26" t="s" s="0">
        <v>96</v>
      </c>
    </row>
    <row r="27">
      <c r="A27" t="s" s="0">
        <v>108</v>
      </c>
      <c r="B27" t="s" s="0">
        <v>96</v>
      </c>
      <c r="C27" t="s" s="0">
        <v>96</v>
      </c>
    </row>
    <row r="28">
      <c r="A28" t="s" s="0">
        <v>101</v>
      </c>
      <c r="B28" t="s" s="0">
        <v>102</v>
      </c>
      <c r="C28" t="s" s="0">
        <v>103</v>
      </c>
    </row>
    <row r="29">
      <c r="A29" t="s" s="0">
        <v>104</v>
      </c>
      <c r="B29" t="s" s="0">
        <v>105</v>
      </c>
      <c r="C29" t="s" s="0">
        <v>106</v>
      </c>
    </row>
    <row r="30">
      <c r="A30" t="s" s="0">
        <v>107</v>
      </c>
      <c r="B30" t="s" s="0">
        <v>96</v>
      </c>
      <c r="C30" t="s" s="0">
        <v>96</v>
      </c>
    </row>
    <row r="31">
      <c r="A31" t="s" s="0">
        <v>108</v>
      </c>
      <c r="B31" t="s" s="0">
        <v>96</v>
      </c>
      <c r="C31" t="s" s="0">
        <v>96</v>
      </c>
    </row>
    <row r="32">
      <c r="A32" t="s" s="0">
        <v>109</v>
      </c>
      <c r="B32" t="s" s="0">
        <v>96</v>
      </c>
      <c r="C32" t="s" s="0">
        <v>96</v>
      </c>
    </row>
    <row r="33">
      <c r="A33" t="s" s="0">
        <v>110</v>
      </c>
      <c r="B33" t="s" s="0">
        <v>96</v>
      </c>
      <c r="C33" t="s" s="0">
        <v>96</v>
      </c>
    </row>
    <row r="34">
      <c r="A34" t="s" s="0">
        <v>107</v>
      </c>
      <c r="B34" t="s" s="0">
        <v>96</v>
      </c>
      <c r="C34" t="s" s="0">
        <v>96</v>
      </c>
    </row>
    <row r="35">
      <c r="A35" t="s" s="0">
        <v>111</v>
      </c>
      <c r="B35" t="s" s="0">
        <v>96</v>
      </c>
      <c r="C35" t="s" s="0">
        <v>96</v>
      </c>
    </row>
    <row r="36">
      <c r="A36" t="s" s="0">
        <v>112</v>
      </c>
      <c r="B36" t="s" s="0">
        <v>96</v>
      </c>
      <c r="C36" t="s" s="0">
        <v>96</v>
      </c>
    </row>
    <row r="37">
      <c r="A37" t="s" s="0">
        <v>113</v>
      </c>
      <c r="B37" t="s" s="0">
        <v>96</v>
      </c>
      <c r="C37" t="s" s="0">
        <v>96</v>
      </c>
    </row>
    <row r="38">
      <c r="A38" t="s" s="0">
        <v>114</v>
      </c>
      <c r="B38" t="s" s="0">
        <v>96</v>
      </c>
      <c r="C38" t="s" s="0">
        <v>96</v>
      </c>
    </row>
    <row r="39">
      <c r="A39" t="s" s="0">
        <v>115</v>
      </c>
      <c r="B39" t="s" s="0">
        <v>96</v>
      </c>
      <c r="C39" t="s" s="0">
        <v>96</v>
      </c>
    </row>
    <row r="40">
      <c r="A40" t="s" s="0">
        <v>108</v>
      </c>
      <c r="B40" t="s" s="0">
        <v>96</v>
      </c>
      <c r="C40" t="s" s="0">
        <v>96</v>
      </c>
    </row>
    <row r="41">
      <c r="A41" t="s" s="0">
        <v>101</v>
      </c>
      <c r="B41" t="s" s="0">
        <v>102</v>
      </c>
      <c r="C41" t="s" s="0">
        <v>103</v>
      </c>
    </row>
    <row r="42">
      <c r="A42" t="s" s="0">
        <v>104</v>
      </c>
      <c r="B42" t="s" s="0">
        <v>105</v>
      </c>
      <c r="C42" t="s" s="0">
        <v>106</v>
      </c>
    </row>
    <row r="43">
      <c r="A43" t="s" s="0">
        <v>109</v>
      </c>
      <c r="B43" t="s" s="0">
        <v>96</v>
      </c>
      <c r="C43" t="s" s="0">
        <v>96</v>
      </c>
    </row>
    <row r="44">
      <c r="A44" t="s" s="0">
        <v>110</v>
      </c>
      <c r="B44" t="s" s="0">
        <v>96</v>
      </c>
      <c r="C44" t="s" s="0">
        <v>96</v>
      </c>
    </row>
    <row r="45">
      <c r="A45" t="s" s="0">
        <v>111</v>
      </c>
      <c r="B45" t="s" s="0">
        <v>96</v>
      </c>
      <c r="C45" t="s" s="0">
        <v>96</v>
      </c>
    </row>
    <row r="46">
      <c r="A46" t="s" s="0">
        <v>112</v>
      </c>
      <c r="B46" t="s" s="0">
        <v>96</v>
      </c>
      <c r="C46" t="s" s="0">
        <v>96</v>
      </c>
    </row>
    <row r="47">
      <c r="A47" t="s" s="0">
        <v>113</v>
      </c>
      <c r="B47" t="s" s="0">
        <v>96</v>
      </c>
      <c r="C47" t="s" s="0">
        <v>96</v>
      </c>
    </row>
    <row r="48">
      <c r="A48" t="s" s="0">
        <v>114</v>
      </c>
      <c r="B48" t="s" s="0">
        <v>96</v>
      </c>
      <c r="C48" t="s" s="0">
        <v>96</v>
      </c>
    </row>
    <row r="49">
      <c r="A49" t="s" s="0">
        <v>115</v>
      </c>
      <c r="B49" t="s" s="0">
        <v>96</v>
      </c>
      <c r="C49" t="s" s="0">
        <v>96</v>
      </c>
    </row>
    <row r="50">
      <c r="A50" t="s" s="0">
        <v>116</v>
      </c>
      <c r="B50" t="s" s="0">
        <v>117</v>
      </c>
      <c r="C50" t="s" s="0">
        <v>118</v>
      </c>
    </row>
    <row r="51">
      <c r="A51" t="s" s="0">
        <v>104</v>
      </c>
      <c r="B51" t="s" s="0">
        <v>105</v>
      </c>
      <c r="C51" t="s" s="0">
        <v>106</v>
      </c>
    </row>
    <row r="52">
      <c r="A52" t="s" s="0">
        <v>109</v>
      </c>
      <c r="B52" t="s" s="0">
        <v>96</v>
      </c>
      <c r="C52" t="s" s="0">
        <v>96</v>
      </c>
    </row>
    <row r="53">
      <c r="A53" t="s" s="0">
        <v>110</v>
      </c>
      <c r="B53" t="s" s="0">
        <v>96</v>
      </c>
      <c r="C53" t="s" s="0">
        <v>96</v>
      </c>
    </row>
    <row r="54">
      <c r="A54" t="s" s="0">
        <v>111</v>
      </c>
      <c r="B54" t="s" s="0">
        <v>96</v>
      </c>
      <c r="C54" t="s" s="0">
        <v>96</v>
      </c>
    </row>
    <row r="55">
      <c r="A55" t="s" s="0">
        <v>112</v>
      </c>
      <c r="B55" t="s" s="0">
        <v>96</v>
      </c>
      <c r="C55" t="s" s="0">
        <v>96</v>
      </c>
    </row>
    <row r="56">
      <c r="A56" t="s" s="0">
        <v>113</v>
      </c>
      <c r="B56" t="s" s="0">
        <v>96</v>
      </c>
      <c r="C56" t="s" s="0">
        <v>96</v>
      </c>
    </row>
    <row r="57">
      <c r="A57" t="s" s="0">
        <v>114</v>
      </c>
      <c r="B57" t="s" s="0">
        <v>96</v>
      </c>
      <c r="C57" t="s" s="0">
        <v>96</v>
      </c>
    </row>
    <row r="58">
      <c r="A58" t="s" s="0">
        <v>115</v>
      </c>
      <c r="B58" t="s" s="0">
        <v>96</v>
      </c>
      <c r="C58" t="s" s="0">
        <v>96</v>
      </c>
    </row>
    <row r="59">
      <c r="A59" t="s" s="0">
        <v>116</v>
      </c>
      <c r="B59" t="s" s="0">
        <v>117</v>
      </c>
      <c r="C59" t="s" s="0">
        <v>118</v>
      </c>
    </row>
    <row r="60">
      <c r="A60" t="s" s="0">
        <v>104</v>
      </c>
      <c r="B60" t="s" s="0">
        <v>105</v>
      </c>
      <c r="C60" t="s" s="0">
        <v>106</v>
      </c>
    </row>
    <row r="61">
      <c r="A61" t="s" s="0">
        <v>109</v>
      </c>
      <c r="B61" t="s" s="0">
        <v>96</v>
      </c>
      <c r="C61" t="s" s="0">
        <v>96</v>
      </c>
    </row>
    <row r="62">
      <c r="A62" t="s" s="0">
        <v>110</v>
      </c>
      <c r="B62" t="s" s="0">
        <v>96</v>
      </c>
      <c r="C62" t="s" s="0">
        <v>96</v>
      </c>
    </row>
    <row r="63">
      <c r="A63" t="s" s="0">
        <v>111</v>
      </c>
      <c r="B63" t="s" s="0">
        <v>96</v>
      </c>
      <c r="C63" t="s" s="0">
        <v>96</v>
      </c>
    </row>
    <row r="64">
      <c r="A64" t="s" s="0">
        <v>112</v>
      </c>
      <c r="B64" t="s" s="0">
        <v>96</v>
      </c>
      <c r="C64" t="s" s="0">
        <v>96</v>
      </c>
    </row>
    <row r="65">
      <c r="A65" t="s" s="0">
        <v>113</v>
      </c>
      <c r="B65" t="s" s="0">
        <v>96</v>
      </c>
      <c r="C65" t="s" s="0">
        <v>96</v>
      </c>
    </row>
    <row r="66">
      <c r="A66" t="s" s="0">
        <v>114</v>
      </c>
      <c r="B66" t="s" s="0">
        <v>96</v>
      </c>
      <c r="C66" t="s" s="0">
        <v>96</v>
      </c>
    </row>
    <row r="67">
      <c r="A67" t="s" s="0">
        <v>115</v>
      </c>
      <c r="B67" t="s" s="0">
        <v>96</v>
      </c>
      <c r="C67" t="s" s="0">
        <v>96</v>
      </c>
    </row>
    <row r="68">
      <c r="A68" t="s" s="0">
        <v>116</v>
      </c>
      <c r="B68" t="s" s="0">
        <v>117</v>
      </c>
      <c r="C68" t="s" s="0">
        <v>118</v>
      </c>
    </row>
    <row r="69">
      <c r="A69" t="s" s="0">
        <v>104</v>
      </c>
      <c r="B69" t="s" s="0">
        <v>105</v>
      </c>
      <c r="C69" t="s" s="0">
        <v>106</v>
      </c>
    </row>
    <row r="70">
      <c r="A70" t="s" s="0">
        <v>109</v>
      </c>
      <c r="B70" t="s" s="0">
        <v>96</v>
      </c>
      <c r="C70" t="s" s="0">
        <v>96</v>
      </c>
    </row>
    <row r="71">
      <c r="A71" t="s" s="0">
        <v>110</v>
      </c>
      <c r="B71" t="s" s="0">
        <v>96</v>
      </c>
      <c r="C71" t="s" s="0">
        <v>96</v>
      </c>
    </row>
    <row r="72">
      <c r="A72" t="s" s="0">
        <v>111</v>
      </c>
      <c r="B72" t="s" s="0">
        <v>96</v>
      </c>
      <c r="C72" t="s" s="0">
        <v>96</v>
      </c>
    </row>
    <row r="73">
      <c r="A73" t="s" s="0">
        <v>112</v>
      </c>
      <c r="B73" t="s" s="0">
        <v>96</v>
      </c>
      <c r="C73" t="s" s="0">
        <v>96</v>
      </c>
    </row>
    <row r="74">
      <c r="A74" t="s" s="0">
        <v>113</v>
      </c>
      <c r="B74" t="s" s="0">
        <v>96</v>
      </c>
      <c r="C74" t="s" s="0">
        <v>96</v>
      </c>
    </row>
    <row r="75">
      <c r="A75" t="s" s="0">
        <v>114</v>
      </c>
      <c r="B75" t="s" s="0">
        <v>96</v>
      </c>
      <c r="C75" t="s" s="0">
        <v>96</v>
      </c>
    </row>
    <row r="76">
      <c r="A76" t="s" s="0">
        <v>115</v>
      </c>
      <c r="B76" t="s" s="0">
        <v>96</v>
      </c>
      <c r="C76" t="s" s="0">
        <v>96</v>
      </c>
    </row>
    <row r="77">
      <c r="A77" t="s" s="0">
        <v>101</v>
      </c>
      <c r="B77" t="s" s="0">
        <v>102</v>
      </c>
      <c r="C77" t="s" s="0">
        <v>103</v>
      </c>
    </row>
    <row r="78">
      <c r="A78" t="s" s="0">
        <v>104</v>
      </c>
      <c r="B78" t="s" s="0">
        <v>105</v>
      </c>
      <c r="C78" t="s" s="0">
        <v>106</v>
      </c>
    </row>
    <row r="79">
      <c r="A79" t="s" s="0">
        <v>109</v>
      </c>
      <c r="B79" t="s" s="0">
        <v>96</v>
      </c>
      <c r="C79" t="s" s="0">
        <v>96</v>
      </c>
    </row>
    <row r="80">
      <c r="A80" t="s" s="0">
        <v>110</v>
      </c>
      <c r="B80" t="s" s="0">
        <v>96</v>
      </c>
      <c r="C80" t="s" s="0">
        <v>96</v>
      </c>
    </row>
    <row r="81">
      <c r="A81" t="s" s="0">
        <v>111</v>
      </c>
      <c r="B81" t="s" s="0">
        <v>96</v>
      </c>
      <c r="C81" t="s" s="0">
        <v>96</v>
      </c>
    </row>
    <row r="82">
      <c r="A82" t="s" s="0">
        <v>112</v>
      </c>
      <c r="B82" t="s" s="0">
        <v>96</v>
      </c>
      <c r="C82" t="s" s="0">
        <v>96</v>
      </c>
    </row>
    <row r="83">
      <c r="A83" t="s" s="0">
        <v>113</v>
      </c>
      <c r="B83" t="s" s="0">
        <v>96</v>
      </c>
      <c r="C83" t="s" s="0">
        <v>96</v>
      </c>
    </row>
    <row r="84">
      <c r="A84" t="s" s="0">
        <v>114</v>
      </c>
      <c r="B84" t="s" s="0">
        <v>96</v>
      </c>
      <c r="C84" t="s" s="0">
        <v>96</v>
      </c>
    </row>
    <row r="85">
      <c r="A85" t="s" s="0">
        <v>115</v>
      </c>
      <c r="B85" t="s" s="0">
        <v>96</v>
      </c>
      <c r="C85" t="s" s="0">
        <v>96</v>
      </c>
    </row>
    <row r="86">
      <c r="A86" t="s" s="0">
        <v>116</v>
      </c>
      <c r="B86" t="s" s="0">
        <v>117</v>
      </c>
      <c r="C86" t="s" s="0">
        <v>118</v>
      </c>
    </row>
    <row r="87">
      <c r="A87" t="s" s="0">
        <v>104</v>
      </c>
      <c r="B87" t="s" s="0">
        <v>105</v>
      </c>
      <c r="C87" t="s" s="0">
        <v>106</v>
      </c>
    </row>
    <row r="88">
      <c r="A88" t="s" s="0">
        <v>109</v>
      </c>
      <c r="B88" t="s" s="0">
        <v>96</v>
      </c>
      <c r="C88" t="s" s="0">
        <v>96</v>
      </c>
    </row>
    <row r="89">
      <c r="A89" t="s" s="0">
        <v>110</v>
      </c>
      <c r="B89" t="s" s="0">
        <v>96</v>
      </c>
      <c r="C89" t="s" s="0">
        <v>96</v>
      </c>
    </row>
    <row r="90">
      <c r="A90" t="s" s="0">
        <v>111</v>
      </c>
      <c r="B90" t="s" s="0">
        <v>96</v>
      </c>
      <c r="C90" t="s" s="0">
        <v>96</v>
      </c>
    </row>
    <row r="91">
      <c r="A91" t="s" s="0">
        <v>112</v>
      </c>
      <c r="B91" t="s" s="0">
        <v>96</v>
      </c>
      <c r="C91" t="s" s="0">
        <v>96</v>
      </c>
    </row>
    <row r="92">
      <c r="A92" t="s" s="0">
        <v>113</v>
      </c>
      <c r="B92" t="s" s="0">
        <v>96</v>
      </c>
      <c r="C92" t="s" s="0">
        <v>96</v>
      </c>
    </row>
    <row r="93">
      <c r="A93" t="s" s="0">
        <v>114</v>
      </c>
      <c r="B93" t="s" s="0">
        <v>96</v>
      </c>
      <c r="C93" t="s" s="0">
        <v>96</v>
      </c>
    </row>
    <row r="94">
      <c r="A94" t="s" s="0">
        <v>115</v>
      </c>
      <c r="B94" t="s" s="0">
        <v>96</v>
      </c>
      <c r="C94" t="s" s="0">
        <v>96</v>
      </c>
    </row>
    <row r="95">
      <c r="A95" t="s" s="0">
        <v>116</v>
      </c>
      <c r="B95" t="s" s="0">
        <v>117</v>
      </c>
      <c r="C95" t="s" s="0">
        <v>118</v>
      </c>
    </row>
    <row r="96">
      <c r="A96" t="s" s="0">
        <v>104</v>
      </c>
      <c r="B96" t="s" s="0">
        <v>105</v>
      </c>
      <c r="C96" t="s" s="0">
        <v>106</v>
      </c>
    </row>
    <row r="97">
      <c r="A97" t="s" s="0">
        <v>109</v>
      </c>
      <c r="B97" t="s" s="0">
        <v>96</v>
      </c>
      <c r="C97" t="s" s="0">
        <v>96</v>
      </c>
    </row>
    <row r="98">
      <c r="A98" t="s" s="0">
        <v>110</v>
      </c>
      <c r="B98" t="s" s="0">
        <v>96</v>
      </c>
      <c r="C98" t="s" s="0">
        <v>96</v>
      </c>
    </row>
    <row r="99">
      <c r="A99" t="s" s="0">
        <v>111</v>
      </c>
      <c r="B99" t="s" s="0">
        <v>96</v>
      </c>
      <c r="C99" t="s" s="0">
        <v>96</v>
      </c>
    </row>
    <row r="100">
      <c r="A100" t="s" s="0">
        <v>112</v>
      </c>
      <c r="B100" t="s" s="0">
        <v>96</v>
      </c>
      <c r="C100" t="s" s="0">
        <v>96</v>
      </c>
    </row>
    <row r="101">
      <c r="A101" t="s" s="0">
        <v>113</v>
      </c>
      <c r="B101" t="s" s="0">
        <v>96</v>
      </c>
      <c r="C101" t="s" s="0">
        <v>96</v>
      </c>
    </row>
    <row r="102">
      <c r="A102" t="s" s="0">
        <v>114</v>
      </c>
      <c r="B102" t="s" s="0">
        <v>96</v>
      </c>
      <c r="C102" t="s" s="0">
        <v>96</v>
      </c>
    </row>
    <row r="103">
      <c r="A103" t="s" s="0">
        <v>115</v>
      </c>
      <c r="B103" t="s" s="0">
        <v>96</v>
      </c>
      <c r="C103" t="s" s="0">
        <v>96</v>
      </c>
    </row>
    <row r="104">
      <c r="A104" t="s" s="0">
        <v>116</v>
      </c>
      <c r="B104" t="s" s="0">
        <v>117</v>
      </c>
      <c r="C104" t="s" s="0">
        <v>118</v>
      </c>
    </row>
    <row r="105">
      <c r="A105" t="s" s="0">
        <v>104</v>
      </c>
      <c r="B105" t="s" s="0">
        <v>105</v>
      </c>
      <c r="C105" t="s" s="0">
        <v>106</v>
      </c>
    </row>
    <row r="106">
      <c r="A106" t="s" s="0">
        <v>109</v>
      </c>
      <c r="B106" t="s" s="0">
        <v>96</v>
      </c>
      <c r="C106" t="s" s="0">
        <v>96</v>
      </c>
    </row>
    <row r="107">
      <c r="A107" t="s" s="0">
        <v>110</v>
      </c>
      <c r="B107" t="s" s="0">
        <v>96</v>
      </c>
      <c r="C107" t="s" s="0">
        <v>96</v>
      </c>
    </row>
    <row r="108">
      <c r="A108" t="s" s="0">
        <v>111</v>
      </c>
      <c r="B108" t="s" s="0">
        <v>96</v>
      </c>
      <c r="C108" t="s" s="0">
        <v>96</v>
      </c>
    </row>
    <row r="109">
      <c r="A109" t="s" s="0">
        <v>112</v>
      </c>
      <c r="B109" t="s" s="0">
        <v>96</v>
      </c>
      <c r="C109" t="s" s="0">
        <v>96</v>
      </c>
    </row>
    <row r="110">
      <c r="A110" t="s" s="0">
        <v>113</v>
      </c>
      <c r="B110" t="s" s="0">
        <v>96</v>
      </c>
      <c r="C110" t="s" s="0">
        <v>96</v>
      </c>
    </row>
    <row r="111">
      <c r="A111" t="s" s="0">
        <v>114</v>
      </c>
      <c r="B111" t="s" s="0">
        <v>96</v>
      </c>
      <c r="C111" t="s" s="0">
        <v>96</v>
      </c>
    </row>
    <row r="112">
      <c r="A112" t="s" s="0">
        <v>115</v>
      </c>
      <c r="B112" t="s" s="0">
        <v>96</v>
      </c>
      <c r="C112" t="s" s="0">
        <v>96</v>
      </c>
    </row>
    <row r="113">
      <c r="A113" t="s" s="0">
        <v>101</v>
      </c>
      <c r="B113" t="s" s="0">
        <v>102</v>
      </c>
      <c r="C113" t="s" s="0">
        <v>103</v>
      </c>
    </row>
    <row r="114">
      <c r="A114" t="s" s="0">
        <v>104</v>
      </c>
      <c r="B114" t="s" s="0">
        <v>105</v>
      </c>
      <c r="C114" t="s" s="0">
        <v>106</v>
      </c>
    </row>
    <row r="115">
      <c r="A115" t="s" s="0">
        <v>109</v>
      </c>
      <c r="B115" t="s" s="0">
        <v>96</v>
      </c>
      <c r="C115" t="s" s="0">
        <v>96</v>
      </c>
    </row>
    <row r="116">
      <c r="A116" t="s" s="0">
        <v>110</v>
      </c>
      <c r="B116" t="s" s="0">
        <v>96</v>
      </c>
      <c r="C116" t="s" s="0">
        <v>96</v>
      </c>
    </row>
    <row r="117">
      <c r="A117" t="s" s="0">
        <v>111</v>
      </c>
      <c r="B117" t="s" s="0">
        <v>96</v>
      </c>
      <c r="C117" t="s" s="0">
        <v>96</v>
      </c>
    </row>
    <row r="118">
      <c r="A118" t="s" s="0">
        <v>112</v>
      </c>
      <c r="B118" t="s" s="0">
        <v>96</v>
      </c>
      <c r="C118" t="s" s="0">
        <v>96</v>
      </c>
    </row>
    <row r="119">
      <c r="A119" t="s" s="0">
        <v>113</v>
      </c>
      <c r="B119" t="s" s="0">
        <v>96</v>
      </c>
      <c r="C119" t="s" s="0">
        <v>96</v>
      </c>
    </row>
    <row r="120">
      <c r="A120" t="s" s="0">
        <v>114</v>
      </c>
      <c r="B120" t="s" s="0">
        <v>96</v>
      </c>
      <c r="C120" t="s" s="0">
        <v>96</v>
      </c>
    </row>
    <row r="121">
      <c r="A121" t="s" s="0">
        <v>115</v>
      </c>
      <c r="B121" t="s" s="0">
        <v>96</v>
      </c>
      <c r="C121" t="s" s="0">
        <v>96</v>
      </c>
    </row>
    <row r="122">
      <c r="A122" t="s" s="0">
        <v>101</v>
      </c>
      <c r="B122" t="s" s="0">
        <v>102</v>
      </c>
      <c r="C122" t="s" s="0">
        <v>103</v>
      </c>
    </row>
    <row r="123">
      <c r="A123" t="s" s="0">
        <v>104</v>
      </c>
      <c r="B123" t="s" s="0">
        <v>105</v>
      </c>
      <c r="C123" t="s" s="0">
        <v>106</v>
      </c>
    </row>
    <row r="124">
      <c r="A124" t="s" s="0">
        <v>109</v>
      </c>
      <c r="B124" t="s" s="0">
        <v>96</v>
      </c>
      <c r="C124" t="s" s="0">
        <v>96</v>
      </c>
    </row>
    <row r="125">
      <c r="A125" t="s" s="0">
        <v>110</v>
      </c>
      <c r="B125" t="s" s="0">
        <v>96</v>
      </c>
      <c r="C125" t="s" s="0">
        <v>96</v>
      </c>
    </row>
    <row r="126">
      <c r="A126" t="s" s="0">
        <v>111</v>
      </c>
      <c r="B126" t="s" s="0">
        <v>96</v>
      </c>
      <c r="C126" t="s" s="0">
        <v>96</v>
      </c>
    </row>
    <row r="127">
      <c r="A127" t="s" s="0">
        <v>112</v>
      </c>
      <c r="B127" t="s" s="0">
        <v>96</v>
      </c>
      <c r="C127" t="s" s="0">
        <v>96</v>
      </c>
    </row>
    <row r="128">
      <c r="A128" t="s" s="0">
        <v>113</v>
      </c>
      <c r="B128" t="s" s="0">
        <v>96</v>
      </c>
      <c r="C128" t="s" s="0">
        <v>96</v>
      </c>
    </row>
    <row r="129">
      <c r="A129" t="s" s="0">
        <v>114</v>
      </c>
      <c r="B129" t="s" s="0">
        <v>96</v>
      </c>
      <c r="C129" t="s" s="0">
        <v>96</v>
      </c>
    </row>
    <row r="130">
      <c r="A130" t="s" s="0">
        <v>115</v>
      </c>
      <c r="B130" t="s" s="0">
        <v>96</v>
      </c>
      <c r="C130" t="s" s="0">
        <v>96</v>
      </c>
    </row>
    <row r="131">
      <c r="A131" t="s" s="0">
        <v>101</v>
      </c>
      <c r="B131" t="s" s="0">
        <v>102</v>
      </c>
      <c r="C131" t="s" s="0">
        <v>103</v>
      </c>
    </row>
    <row r="132">
      <c r="A132" t="s" s="0">
        <v>104</v>
      </c>
      <c r="B132" t="s" s="0">
        <v>105</v>
      </c>
      <c r="C132" t="s" s="0">
        <v>106</v>
      </c>
    </row>
    <row r="133">
      <c r="A133" t="s" s="0">
        <v>109</v>
      </c>
      <c r="B133" t="s" s="0">
        <v>96</v>
      </c>
      <c r="C133" t="s" s="0">
        <v>96</v>
      </c>
    </row>
    <row r="134">
      <c r="A134" t="s" s="0">
        <v>110</v>
      </c>
      <c r="B134" t="s" s="0">
        <v>96</v>
      </c>
      <c r="C134" t="s" s="0">
        <v>96</v>
      </c>
    </row>
    <row r="135">
      <c r="A135" t="s" s="0">
        <v>111</v>
      </c>
      <c r="B135" t="s" s="0">
        <v>96</v>
      </c>
      <c r="C135" t="s" s="0">
        <v>96</v>
      </c>
    </row>
    <row r="136">
      <c r="A136" t="s" s="0">
        <v>112</v>
      </c>
      <c r="B136" t="s" s="0">
        <v>96</v>
      </c>
      <c r="C136" t="s" s="0">
        <v>96</v>
      </c>
    </row>
    <row r="137">
      <c r="A137" t="s" s="0">
        <v>113</v>
      </c>
      <c r="B137" t="s" s="0">
        <v>96</v>
      </c>
      <c r="C137" t="s" s="0">
        <v>96</v>
      </c>
    </row>
    <row r="138">
      <c r="A138" t="s" s="0">
        <v>114</v>
      </c>
      <c r="B138" t="s" s="0">
        <v>96</v>
      </c>
      <c r="C138" t="s" s="0">
        <v>96</v>
      </c>
    </row>
    <row r="139">
      <c r="A139" t="s" s="0">
        <v>115</v>
      </c>
      <c r="B139" t="s" s="0">
        <v>96</v>
      </c>
      <c r="C139" t="s" s="0">
        <v>96</v>
      </c>
    </row>
    <row r="140">
      <c r="A140" t="s" s="0">
        <v>101</v>
      </c>
      <c r="B140" t="s" s="0">
        <v>102</v>
      </c>
      <c r="C140" t="s" s="0">
        <v>103</v>
      </c>
    </row>
    <row r="141">
      <c r="A141" t="s" s="0">
        <v>104</v>
      </c>
      <c r="B141" t="s" s="0">
        <v>105</v>
      </c>
      <c r="C141" t="s" s="0">
        <v>106</v>
      </c>
    </row>
    <row r="142">
      <c r="A142" t="s" s="0">
        <v>109</v>
      </c>
      <c r="B142" t="s" s="0">
        <v>96</v>
      </c>
      <c r="C142" t="s" s="0">
        <v>96</v>
      </c>
    </row>
    <row r="143">
      <c r="A143" t="s" s="0">
        <v>110</v>
      </c>
      <c r="B143" t="s" s="0">
        <v>96</v>
      </c>
      <c r="C143" t="s" s="0">
        <v>96</v>
      </c>
    </row>
    <row r="144">
      <c r="A144" t="s" s="0">
        <v>111</v>
      </c>
      <c r="B144" t="s" s="0">
        <v>96</v>
      </c>
      <c r="C144" t="s" s="0">
        <v>96</v>
      </c>
    </row>
    <row r="145">
      <c r="A145" t="s" s="0">
        <v>112</v>
      </c>
      <c r="B145" t="s" s="0">
        <v>96</v>
      </c>
      <c r="C145" t="s" s="0">
        <v>96</v>
      </c>
    </row>
    <row r="146">
      <c r="A146" t="s" s="0">
        <v>113</v>
      </c>
      <c r="B146" t="s" s="0">
        <v>96</v>
      </c>
      <c r="C146" t="s" s="0">
        <v>96</v>
      </c>
    </row>
    <row r="147">
      <c r="A147" t="s" s="0">
        <v>114</v>
      </c>
      <c r="B147" t="s" s="0">
        <v>96</v>
      </c>
      <c r="C147" t="s" s="0">
        <v>96</v>
      </c>
    </row>
    <row r="148">
      <c r="A148" t="s" s="0">
        <v>115</v>
      </c>
      <c r="B148" t="s" s="0">
        <v>96</v>
      </c>
      <c r="C148" t="s" s="0">
        <v>96</v>
      </c>
    </row>
    <row r="149">
      <c r="A149" t="s" s="0">
        <v>101</v>
      </c>
      <c r="B149" t="s" s="0">
        <v>102</v>
      </c>
      <c r="C149" t="s" s="0">
        <v>103</v>
      </c>
    </row>
    <row r="150">
      <c r="A150" t="s" s="0">
        <v>104</v>
      </c>
      <c r="B150" t="s" s="0">
        <v>105</v>
      </c>
      <c r="C150" t="s" s="0">
        <v>106</v>
      </c>
    </row>
    <row r="151">
      <c r="A151" t="s" s="0">
        <v>109</v>
      </c>
      <c r="B151" t="s" s="0">
        <v>96</v>
      </c>
      <c r="C151" t="s" s="0">
        <v>96</v>
      </c>
    </row>
    <row r="152">
      <c r="A152" t="s" s="0">
        <v>110</v>
      </c>
      <c r="B152" t="s" s="0">
        <v>96</v>
      </c>
      <c r="C152" t="s" s="0">
        <v>96</v>
      </c>
    </row>
    <row r="153">
      <c r="A153" t="s" s="0">
        <v>111</v>
      </c>
      <c r="B153" t="s" s="0">
        <v>96</v>
      </c>
      <c r="C153" t="s" s="0">
        <v>96</v>
      </c>
    </row>
    <row r="154">
      <c r="A154" t="s" s="0">
        <v>112</v>
      </c>
      <c r="B154" t="s" s="0">
        <v>96</v>
      </c>
      <c r="C154" t="s" s="0">
        <v>96</v>
      </c>
    </row>
    <row r="155">
      <c r="A155" t="s" s="0">
        <v>113</v>
      </c>
      <c r="B155" t="s" s="0">
        <v>96</v>
      </c>
      <c r="C155" t="s" s="0">
        <v>96</v>
      </c>
    </row>
    <row r="156">
      <c r="A156" t="s" s="0">
        <v>114</v>
      </c>
      <c r="B156" t="s" s="0">
        <v>96</v>
      </c>
      <c r="C156" t="s" s="0">
        <v>96</v>
      </c>
    </row>
    <row r="157">
      <c r="A157" t="s" s="0">
        <v>115</v>
      </c>
      <c r="B157" t="s" s="0">
        <v>96</v>
      </c>
      <c r="C157" t="s" s="0">
        <v>96</v>
      </c>
    </row>
    <row r="158">
      <c r="A158" t="s" s="0">
        <v>116</v>
      </c>
      <c r="B158" t="s" s="0">
        <v>117</v>
      </c>
      <c r="C158" t="s" s="0">
        <v>118</v>
      </c>
    </row>
    <row r="159">
      <c r="A159" t="s" s="0">
        <v>104</v>
      </c>
      <c r="B159" t="s" s="0">
        <v>105</v>
      </c>
      <c r="C159" t="s" s="0">
        <v>106</v>
      </c>
    </row>
    <row r="160">
      <c r="A160" t="s" s="0">
        <v>109</v>
      </c>
      <c r="B160" t="s" s="0">
        <v>96</v>
      </c>
      <c r="C160" t="s" s="0">
        <v>96</v>
      </c>
    </row>
    <row r="161">
      <c r="A161" t="s" s="0">
        <v>110</v>
      </c>
      <c r="B161" t="s" s="0">
        <v>96</v>
      </c>
      <c r="C161" t="s" s="0">
        <v>96</v>
      </c>
    </row>
    <row r="162">
      <c r="A162" t="s" s="0">
        <v>111</v>
      </c>
      <c r="B162" t="s" s="0">
        <v>96</v>
      </c>
      <c r="C162" t="s" s="0">
        <v>96</v>
      </c>
    </row>
    <row r="163">
      <c r="A163" t="s" s="0">
        <v>112</v>
      </c>
      <c r="B163" t="s" s="0">
        <v>96</v>
      </c>
      <c r="C163" t="s" s="0">
        <v>96</v>
      </c>
    </row>
    <row r="164">
      <c r="A164" t="s" s="0">
        <v>113</v>
      </c>
      <c r="B164" t="s" s="0">
        <v>96</v>
      </c>
      <c r="C164" t="s" s="0">
        <v>96</v>
      </c>
    </row>
    <row r="165">
      <c r="A165" t="s" s="0">
        <v>114</v>
      </c>
      <c r="B165" t="s" s="0">
        <v>96</v>
      </c>
      <c r="C165" t="s" s="0">
        <v>96</v>
      </c>
    </row>
    <row r="166">
      <c r="A166" t="s" s="0">
        <v>115</v>
      </c>
      <c r="B166" t="s" s="0">
        <v>96</v>
      </c>
      <c r="C166" t="s" s="0">
        <v>96</v>
      </c>
    </row>
    <row r="167">
      <c r="A167" t="s" s="0">
        <v>116</v>
      </c>
      <c r="B167" t="s" s="0">
        <v>117</v>
      </c>
      <c r="C167" t="s" s="0">
        <v>118</v>
      </c>
    </row>
    <row r="168">
      <c r="A168" t="s" s="0">
        <v>104</v>
      </c>
      <c r="B168" t="s" s="0">
        <v>105</v>
      </c>
      <c r="C168" t="s" s="0">
        <v>106</v>
      </c>
    </row>
    <row r="169">
      <c r="A169" t="s" s="0">
        <v>109</v>
      </c>
      <c r="B169" t="s" s="0">
        <v>96</v>
      </c>
      <c r="C169" t="s" s="0">
        <v>96</v>
      </c>
    </row>
    <row r="170">
      <c r="A170" t="s" s="0">
        <v>110</v>
      </c>
      <c r="B170" t="s" s="0">
        <v>96</v>
      </c>
      <c r="C170" t="s" s="0">
        <v>96</v>
      </c>
    </row>
    <row r="171">
      <c r="A171" t="s" s="0">
        <v>111</v>
      </c>
      <c r="B171" t="s" s="0">
        <v>96</v>
      </c>
      <c r="C171" t="s" s="0">
        <v>96</v>
      </c>
    </row>
    <row r="172">
      <c r="A172" t="s" s="0">
        <v>112</v>
      </c>
      <c r="B172" t="s" s="0">
        <v>96</v>
      </c>
      <c r="C172" t="s" s="0">
        <v>96</v>
      </c>
    </row>
    <row r="173">
      <c r="A173" t="s" s="0">
        <v>113</v>
      </c>
      <c r="B173" t="s" s="0">
        <v>96</v>
      </c>
      <c r="C173" t="s" s="0">
        <v>96</v>
      </c>
    </row>
    <row r="174">
      <c r="A174" t="s" s="0">
        <v>114</v>
      </c>
      <c r="B174" t="s" s="0">
        <v>96</v>
      </c>
      <c r="C174" t="s" s="0">
        <v>96</v>
      </c>
    </row>
    <row r="175">
      <c r="A175" t="s" s="0">
        <v>115</v>
      </c>
      <c r="B175" t="s" s="0">
        <v>96</v>
      </c>
      <c r="C175" t="s" s="0">
        <v>96</v>
      </c>
    </row>
    <row r="176">
      <c r="A176" t="s" s="0">
        <v>101</v>
      </c>
      <c r="B176" t="s" s="0">
        <v>102</v>
      </c>
      <c r="C176" t="s" s="0">
        <v>103</v>
      </c>
    </row>
    <row r="177">
      <c r="A177" t="s" s="0">
        <v>104</v>
      </c>
      <c r="B177" t="s" s="0">
        <v>105</v>
      </c>
      <c r="C177" t="s" s="0">
        <v>106</v>
      </c>
    </row>
    <row r="178">
      <c r="A178" t="s" s="0">
        <v>109</v>
      </c>
      <c r="B178" t="s" s="0">
        <v>96</v>
      </c>
      <c r="C178" t="s" s="0">
        <v>96</v>
      </c>
    </row>
    <row r="179">
      <c r="A179" t="s" s="0">
        <v>110</v>
      </c>
      <c r="B179" t="s" s="0">
        <v>96</v>
      </c>
      <c r="C179" t="s" s="0">
        <v>96</v>
      </c>
    </row>
    <row r="180">
      <c r="A180" t="s" s="0">
        <v>111</v>
      </c>
      <c r="B180" t="s" s="0">
        <v>96</v>
      </c>
      <c r="C180" t="s" s="0">
        <v>96</v>
      </c>
    </row>
    <row r="181">
      <c r="A181" t="s" s="0">
        <v>112</v>
      </c>
      <c r="B181" t="s" s="0">
        <v>96</v>
      </c>
      <c r="C181" t="s" s="0">
        <v>96</v>
      </c>
    </row>
    <row r="182">
      <c r="A182" t="s" s="0">
        <v>113</v>
      </c>
      <c r="B182" t="s" s="0">
        <v>96</v>
      </c>
      <c r="C182" t="s" s="0">
        <v>96</v>
      </c>
    </row>
    <row r="183">
      <c r="A183" t="s" s="0">
        <v>114</v>
      </c>
      <c r="B183" t="s" s="0">
        <v>96</v>
      </c>
      <c r="C183" t="s" s="0">
        <v>96</v>
      </c>
    </row>
    <row r="184">
      <c r="A184" t="s" s="0">
        <v>115</v>
      </c>
      <c r="B184" t="s" s="0">
        <v>96</v>
      </c>
      <c r="C184" t="s" s="0">
        <v>96</v>
      </c>
    </row>
    <row r="185">
      <c r="A185" t="s" s="0">
        <v>116</v>
      </c>
      <c r="B185" t="s" s="0">
        <v>117</v>
      </c>
      <c r="C185" t="s" s="0">
        <v>118</v>
      </c>
    </row>
    <row r="186">
      <c r="A186" t="s" s="0">
        <v>104</v>
      </c>
      <c r="B186" t="s" s="0">
        <v>105</v>
      </c>
      <c r="C186" t="s" s="0">
        <v>106</v>
      </c>
    </row>
    <row r="187">
      <c r="A187" t="s" s="0">
        <v>109</v>
      </c>
      <c r="B187" t="s" s="0">
        <v>96</v>
      </c>
      <c r="C187" t="s" s="0">
        <v>96</v>
      </c>
    </row>
    <row r="188">
      <c r="A188" t="s" s="0">
        <v>110</v>
      </c>
      <c r="B188" t="s" s="0">
        <v>96</v>
      </c>
      <c r="C188" t="s" s="0">
        <v>96</v>
      </c>
    </row>
    <row r="189">
      <c r="A189" t="s" s="0">
        <v>111</v>
      </c>
      <c r="B189" t="s" s="0">
        <v>96</v>
      </c>
      <c r="C189" t="s" s="0">
        <v>96</v>
      </c>
    </row>
    <row r="190">
      <c r="A190" t="s" s="0">
        <v>112</v>
      </c>
      <c r="B190" t="s" s="0">
        <v>96</v>
      </c>
      <c r="C190" t="s" s="0">
        <v>96</v>
      </c>
    </row>
    <row r="191">
      <c r="A191" t="s" s="0">
        <v>113</v>
      </c>
      <c r="B191" t="s" s="0">
        <v>96</v>
      </c>
      <c r="C191" t="s" s="0">
        <v>96</v>
      </c>
    </row>
    <row r="192">
      <c r="A192" t="s" s="0">
        <v>114</v>
      </c>
      <c r="B192" t="s" s="0">
        <v>96</v>
      </c>
      <c r="C192" t="s" s="0">
        <v>96</v>
      </c>
    </row>
    <row r="193">
      <c r="A193" t="s" s="0">
        <v>115</v>
      </c>
      <c r="B193" t="s" s="0">
        <v>96</v>
      </c>
      <c r="C193" t="s" s="0">
        <v>96</v>
      </c>
    </row>
    <row r="194">
      <c r="A194" t="s" s="0">
        <v>101</v>
      </c>
      <c r="B194" t="s" s="0">
        <v>102</v>
      </c>
      <c r="C194" t="s" s="0">
        <v>103</v>
      </c>
    </row>
    <row r="195">
      <c r="A195" t="s" s="0">
        <v>104</v>
      </c>
      <c r="B195" t="s" s="0">
        <v>105</v>
      </c>
      <c r="C195" t="s" s="0">
        <v>106</v>
      </c>
    </row>
    <row r="196">
      <c r="A196" t="s" s="0">
        <v>109</v>
      </c>
      <c r="B196" t="s" s="0">
        <v>96</v>
      </c>
      <c r="C196" t="s" s="0">
        <v>96</v>
      </c>
    </row>
    <row r="197">
      <c r="A197" t="s" s="0">
        <v>110</v>
      </c>
      <c r="B197" t="s" s="0">
        <v>96</v>
      </c>
      <c r="C197" t="s" s="0">
        <v>96</v>
      </c>
    </row>
    <row r="198">
      <c r="A198" t="s" s="0">
        <v>111</v>
      </c>
      <c r="B198" t="s" s="0">
        <v>96</v>
      </c>
      <c r="C198" t="s" s="0">
        <v>96</v>
      </c>
    </row>
    <row r="199">
      <c r="A199" t="s" s="0">
        <v>112</v>
      </c>
      <c r="B199" t="s" s="0">
        <v>96</v>
      </c>
      <c r="C199" t="s" s="0">
        <v>96</v>
      </c>
    </row>
    <row r="200">
      <c r="A200" t="s" s="0">
        <v>113</v>
      </c>
      <c r="B200" t="s" s="0">
        <v>96</v>
      </c>
      <c r="C200" t="s" s="0">
        <v>96</v>
      </c>
    </row>
    <row r="201">
      <c r="A201" t="s" s="0">
        <v>114</v>
      </c>
      <c r="B201" t="s" s="0">
        <v>96</v>
      </c>
      <c r="C201" t="s" s="0">
        <v>96</v>
      </c>
    </row>
    <row r="202">
      <c r="A202" t="s" s="0">
        <v>115</v>
      </c>
      <c r="B202" t="s" s="0">
        <v>96</v>
      </c>
      <c r="C202" t="s" s="0">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2026-09-18T15:33:29Z</dcterms:created>
  <dc:creator>Apache POI</dc:creator>
</cp:coreProperties>
</file>