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ções aqui" r:id="rId3" sheetId="1"/>
    <sheet name="Definições de dados" r:id="rId4" sheetId="2"/>
    <sheet name="Modelo de recomendações de ofer" r:id="rId5" sheetId="3"/>
    <sheet name="ValidationDataSheet" r:id="rId6" sheetId="4" state="hidden"/>
    <sheet name="lookup" r:id="rId30" sheetId="5" state="hidden"/>
  </sheets>
  <definedNames>
    <definedName name="_xlnm._FilterDatabase" localSheetId="2" hidden="true">'Modelo de recomendações de ofer'!$A$4:$P$4</definedName>
    <definedName name="DropdownRange_0">ValidationDataSheet!$A$1:$A$2</definedName>
    <definedName name="DropdownRange_1">ValidationDataSheet!$B$1:$B$5</definedName>
    <definedName name="DropdownRange_2">ValidationDataSheet!$C$1:$C$3</definedName>
  </definedNames>
</workbook>
</file>

<file path=xl/sharedStrings.xml><?xml version="1.0" encoding="utf-8"?>
<sst xmlns="http://schemas.openxmlformats.org/spreadsheetml/2006/main" count="3848" uniqueCount="147">
  <si>
    <t>Instruções importantes sobre o modelo de recomendações de ofertas especiais</t>
  </si>
  <si>
    <t>1. Use este modelo pré-preenchido de recomendações de ofertas especiais para agendar ofertas especiais recomendadas pela Amazon, fornecendo apenas os atributos mínimos, como o agendamento da oferta especial. Recomendamos verificar os dados pré-preenchidos para garantir que você está criando ofertas especiais para os produtos e lojas corretos.
2. Você não pode criar ofertas especiais para produtos que estejam fora das recomendações de ofertas especiais da Amazon usando este modelo. Caso contrário, ocorrerão erros.
3. Com este modelo pré-preenchido, é possível agendar ofertas especiais para vários sites de uma só vez. Se houver recomendações de ofertas especiais para múltiplos sites, forneça as informações correspondentes nas colunas específicas de cada site.
4. As quatro primeiras colunas deste modelo são comuns a todos os sites. Elas são pré-preenchidas e servem apenas como referência. Pré-preenchemos para você os seguintes campos: “SKU” (identificador exclusivo do vendedor para um produto), “Participando”, “Preço do vendedor”, “Preço da Oferta especial” e “Unidades comprometidas”. “Agendamento de oferta especial” deve ser definido no nível da família de variações e não deve ser alterado.
5. O SKU (se vários códigos SKU estiverem disponíveis para um ASIN), “Participando”, “Agendamento”, “Data de início”, “Data de término”, “Preço da oferta especial” e “Unidades comprometidas” podem ser editados (destacados em verde). As demais colunas não são editáveis (destacadas em cinza). Todos os valores pré-preenchidos são gerados no momento do download do arquivo Excel e não serão atualizados em tempo real.
6. A data de início e a data de término podem ser configuradas apenas para Melhores ofertas. As datas devem ser contínuas, por exemplo, 1º de junho a 10 de junho. Atenção: não é possível configurar data de início e data de término para eventos específicos, por exemplo, Prime Day, nem para Ofertas relâmpago. Qualquer inclusão de datas será ignorada. 
7. O SKU (se vários códigos SKU estiverem disponíveis para um ASIN), “Participando”, “Agendamento”, “Preço da oferta especial” e “Unidades comprometidas” podem ser editados (destacados em verde). As demais colunas não são editáveis (destacadas em cinza). Todos os valores pré-preenchidos são gerados no momento do download do arquivo Excel e não serão atualizados em tempo real.
8. Quando o arquivo estiver pronto, faça o upload na página “Gerenciar em massa”.
9. Tarifas: a Amazon cobra tarifas para executar ofertas especiais em determinados países (EUA, Canadá, Reino Unido, Alemanha, França, Itália, Espanha e Japão). Se você decidir criar uma oferta especial em um país onde há cobrança de tarifa, será cobrado por cada Oferta Relâmpago ou Melhor oferta enviada e executada com sucesso. A tarifa é exibida durante o fluxo de trabalho de criação da oferta especial e pode ser visualizada na página Gerenciar ofertas especiais no Seller Central para cada oferta especial criada. Para obter mais informações sobre as tarifas de ofertas especiais, acesse nossa página de Ajuda https://sellercentral.amazon.com/help/hub/reference/G202111590</t>
  </si>
  <si>
    <t>Como usar este arquivo</t>
  </si>
  <si>
    <t>1. Consulte a guia “Definições de dados” neste arquivo para saber para que os atributos são usados, quais atributos são necessários, quais são os valores aceitáveis para cada atributo e as definições de dados. Ela contém a definição dos dados a serem fornecidos em cada uma das colunas.
2. Adicione suas informações somente na guia “Recomendações de oferta especial - Modelo”.
3. Menus suspensos: alguns campos têm menus suspensos com listas de valores válidos para escolher. Para alguns desses campos, você deve selecionar um valor no menu suspenso. Você não pode digitar seu próprio valor, mesmo que ele seja válido. Se receber um erro, limpe o campo e escolha um valor no menu suspenso. Você também pode editar as células realçadas em verde para fornecer seus próprios valores. 
4. Você deve fornecer um valor nas colunas obrigatórias para que suas ofertas especiais sejam processadas com êxito pela Amazon.
5. Campos cinza: alguns campos podem estar preenchidos com um fundo cinza. Você não precisa preencher esses campos, e isso pode gerar erros ao fazer upload desse arquivo. Eles servem apenas para sua referência.</t>
  </si>
  <si>
    <t>Informações importantes</t>
  </si>
  <si>
    <t>As recomendações de ofertas especiais são atualizadas toda segunda-feira. Para obter as recomendações mais recentes de produtos para agendamento de ofertas especiais, faça download de um novo arquivo sempre que for processar</t>
  </si>
  <si>
    <t>Dicas para evitar erros ao agendar ofertas</t>
  </si>
  <si>
    <t>1. Colunas: não duplique nem exclua colunas.
2. Renomear folhas ou guias: não faça isso, pois usamos os nomes para reconhecer diferentes tipos de informações.
3. Usar o Microsoft Excel: outros softwares podem não ser compatíveis com determinadas funcionalidades.
4. Copiar e colar: copiar e colar em uma coluna com um menu suspenso substitui a configuração do menu suspenso. Se você colar um valor que não está em um menu suspenso, isso poderá causar problemas ao fazer upload do arquivo.</t>
  </si>
  <si>
    <t>Como usar o Resumo de processamento para resolver erros</t>
  </si>
  <si>
    <t>1. É possível fazer download do resumo de processamento na página “Gerenciar em massa”, na guia Uploads, quando a opção de download estiver habilitada. O resumo de processamento contará com 4 guias: 1. Instruções 2. Definições de dados 3. Modelo de recomendações de ofertas especiais 4. Planilha de erros
2. Use o resumo de processamento para revisar primeiro a planilha de erros, que contém todos os códigos ASIN que não foram agendados para ofertas especiais, juntamente com o resumo dos erros. Códigos ASIN que não foram incluídos na planilha de erros foram enviados com sucesso (isso não significa necessariamente que foram criados).
3. A alteração de códigos ASIN que já estão agendados para ofertas especiais (ou que não aparecem na planilha de erros) não é permitida com este modelo. Para alterar esses códigos ASIN, acesse a página “Gerenciar ofertas especiais” no Seller Central.
4. O resumo de processamento pode ser usado como um arquivo de criação de ofertas especiais. Corrija os erros específicos dos códigos ASIN fazendo as alterações necessárias na guia “Modelo de recomendações de ofertas especiais”. Quando o arquivo estiver pronto, faça o upload pela página “Gerenciar em massa” para criar as ofertas especiais.</t>
  </si>
  <si>
    <t>Como preencher o modelo de recomendações de ofertas especiais</t>
  </si>
  <si>
    <t/>
  </si>
  <si>
    <t>Nome da coluna</t>
  </si>
  <si>
    <t>Definição e uso</t>
  </si>
  <si>
    <t>Valores aceitos</t>
  </si>
  <si>
    <t>Exemplo</t>
  </si>
  <si>
    <t>Obrigatório?</t>
  </si>
  <si>
    <t>ASIN em destaque</t>
  </si>
  <si>
    <t>Um ASIN em destaque é um ASIN disponível para compra representativo dentro de uma família de variações. No modelo, as famílias de variações são agrupadas no nível do ASIN em destaque e são destacadas com a cor cinza. Se não houver variação, o ASIN em destaque será o mesmo que o ASIN da oferta especial.</t>
  </si>
  <si>
    <t>Pré-preenchido apenas como referência. Nenhuma entrada necessária</t>
  </si>
  <si>
    <t>B007KQBXN0</t>
  </si>
  <si>
    <t>Não editável</t>
  </si>
  <si>
    <t>ASIN da oferta especial</t>
  </si>
  <si>
    <t>Um ASIN recomendado para oferta especial</t>
  </si>
  <si>
    <t>ASIN324</t>
  </si>
  <si>
    <t>Nome do produto</t>
  </si>
  <si>
    <t xml:space="preserve">Título do produto da Amazon para o ASIN recomendado </t>
  </si>
  <si>
    <t>Amazon Essentials Suéter masculino de algodão com zíper completo</t>
  </si>
  <si>
    <t>Tipo de oferta especial</t>
  </si>
  <si>
    <t>Especifique o tipo de oferta especial recomendada pela Amazon para o ASIN</t>
  </si>
  <si>
    <t>Melhores ofertas</t>
  </si>
  <si>
    <t>SKU</t>
  </si>
  <si>
    <t xml:space="preserve">Número do SKU (Unidade de manutenção de estoque) definido pelo vendedor. </t>
  </si>
  <si>
    <t>Pré-preenchido. Porém, se houver múltiplos códigos SKU para um ASIN, os valores de SKU poderão ser selecionados no menu suspenso</t>
  </si>
  <si>
    <t>SKU1234</t>
  </si>
  <si>
    <t>Obrigatório</t>
  </si>
  <si>
    <t>Participando</t>
  </si>
  <si>
    <t>O campo “Participando” determina se o ASIN será incluído nas ofertas especiais ou não</t>
  </si>
  <si>
    <t>Pré-preenchido como “Sim”. Se algum dos códigos ASIN precisar ser excluído do agendamento de ofertas especiais, selecione “Não” no menu suspenso</t>
  </si>
  <si>
    <t>Sim ou Não</t>
  </si>
  <si>
    <t>Agendamento</t>
  </si>
  <si>
    <t>Este campo indica o período em que a oferta especial está agendada para ser executada. O agendamento de ofertas especiais pode ser feito apenas no nível da família de variações, e os nomes de eventos serão destacados na semana correspondente, se aplicável</t>
  </si>
  <si>
    <t>Selecione um valor na lista suspensa</t>
  </si>
  <si>
    <t>Personalizado ou evento</t>
  </si>
  <si>
    <t>Data de início (AAAA-MM-DD)</t>
  </si>
  <si>
    <t>Este campo determina a data de início da oferta especial</t>
  </si>
  <si>
    <t xml:space="preserve">Insira a data de início no formato: AAAA-MM-DD dentro do intervalo especificado na coluna de agendamento. Melhores ofertas podem ser agendadas por no mínimo 1 dia e no máximo 14 dias. </t>
  </si>
  <si>
    <t>2025-06-21</t>
  </si>
  <si>
    <t>Data de término (AAAA-MM-DD)</t>
  </si>
  <si>
    <t>Esse campo determina a data de término da oferta especial</t>
  </si>
  <si>
    <t xml:space="preserve">Insira a data de término no formato: AAAA-MM-DD dentro do intervalo especificado na coluna de agendamento. Melhores ofertas podem ser agendadas por no mínimo 1 dia e no máximo 14 dias. </t>
  </si>
  <si>
    <t>2025-06-30</t>
  </si>
  <si>
    <t>Preço do vendedor</t>
  </si>
  <si>
    <t>Preço pelo qual você oferece o produto à venda.</t>
  </si>
  <si>
    <t>100</t>
  </si>
  <si>
    <t>Preço da Oferta especial</t>
  </si>
  <si>
    <t>O preço da Oferta especial para um ASIN é recomendado pela Amazon e calculado com base nos limites definidos para cada tipo de oferta especial</t>
  </si>
  <si>
    <t>Pré-preenchido. Revise os dados e altere, se necessário</t>
  </si>
  <si>
    <t>Unidades comprometidas</t>
  </si>
  <si>
    <t>Este campo especifica o número de unidades que você deseja vender pelo preço da Oferta especial. Este campo é obrigatório apenas para Ofertas Relâmpago, após o qual a oferta especial será desativada automaticamente.</t>
  </si>
  <si>
    <t>120</t>
  </si>
  <si>
    <t>Quantidade do vendedor</t>
  </si>
  <si>
    <t>Contagem atual de inventário do ASIN recomendado para a oferta especial, considerando o canal de logística. O valor é gerado no momento do download e não é atualizado em tempo real</t>
  </si>
  <si>
    <t>80</t>
  </si>
  <si>
    <t>Detalhes do produto</t>
  </si>
  <si>
    <t>ASIN parent</t>
  </si>
  <si>
    <t>Brasil (BR)</t>
  </si>
  <si>
    <t>ID da recomendação</t>
  </si>
  <si>
    <t>Preço do vendedor (BRL)</t>
  </si>
  <si>
    <t>Preço da Oferta especial (BRL)</t>
  </si>
  <si>
    <t>URL da imagem</t>
  </si>
  <si>
    <t>parent_asin</t>
  </si>
  <si>
    <t>featured_asin</t>
  </si>
  <si>
    <t>deal_asin</t>
  </si>
  <si>
    <t>product_name</t>
  </si>
  <si>
    <t>deal_type</t>
  </si>
  <si>
    <t>marketplace_id@A2Q3Y263D00KWC.recommendation_id</t>
  </si>
  <si>
    <t>marketplace_id@A2Q3Y263D00KWC.sku</t>
  </si>
  <si>
    <t>marketplace_id@A2Q3Y263D00KWC.participating</t>
  </si>
  <si>
    <t>marketplace_id@A2Q3Y263D00KWC.schedule</t>
  </si>
  <si>
    <t>marketplace_id@A2Q3Y263D00KWC.start_date</t>
  </si>
  <si>
    <t>marketplace_id@A2Q3Y263D00KWC.end_date</t>
  </si>
  <si>
    <t>marketplace_id@A2Q3Y263D00KWC.seller_price</t>
  </si>
  <si>
    <t>marketplace_id@A2Q3Y263D00KWC.deal_price</t>
  </si>
  <si>
    <t>marketplace_id@A2Q3Y263D00KWC.committed_units</t>
  </si>
  <si>
    <t>marketplace_id@A2Q3Y263D00KWC.seller_quantity</t>
  </si>
  <si>
    <t>marketplace_id@A2Q3Y263D00KWC.image_url</t>
  </si>
  <si>
    <t>Instruções: preencha este modelo em INGLÊS. NÃO modifique ou exclua as linhas de cabeçalho. Não use modelos antigos nem faça download de um novo arquivo para obter recomendações atualizadas de ASIN</t>
  </si>
  <si>
    <t>{locale:"pt-BR",types:{'Melhor oferta':"BEST_DEAL",'Oferta Relâmpago':"LIGHTNING_DEAL"},marketplaces:{A2Q3Y263D00KWC:526970},schedules:{'A2Q3Y263D00KWC-Black Friday e Cyber Monday (2026-11-19 - 2026-11-30)':{start_date:"2026-11-19",end_date:"2026-11-30",event_id:"amzn1.ww-events.subEvent.v1.a5cbc632-14e3-46e9-8151-d86d91d52f51",event_name:"Black Friday/2026/BR"},'A2Q3Y263D00KWC-seg. (2026-10-26 - 2026-11-01)':{start_date:"2026-10-26",end_date:"2026-11-01"},'A2Q3Y263D00KWC-seg. (2026-11-02 - 2026-11-08)':{start_date:"2026-11-02",end_date:"2026-11-08"},'A2Q3Y263D00KWC-seg. (2026-11-09 - 2026-11-15)':{start_date:"2026-11-09",end_date:"2026-11-15"},'A2Q3Y263D00KWC-seg. (2026-12-07 - 2026-12-13)':{start_date:"2026-12-07",end_date:"2026-12-13"}},lookup:{schedule:[{schedule:"Personalizado - (2026-10-21 - 2026-11-18)",start_date:"2026-10-21",end_date:"2026-11-03"},{schedule:"Personalizado - (2026-12-01 - 2026-12-19)",start_date:"2026-12-01",end_date:"2026-12-14"},{schedule:"Black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(2026-12-07 - 2026-12-13)",start_date:"N/A",end_date:"N/A"},{schedule:"Personalizado - (2026-10-21 - 2026-11-18)",start_date:"2026-10-21",end_date:"2026-11-03"},{schedule:"Personalizado - (2026-12-01 - 2026-12-19)",start_date:"2026-12-01",end_date:"2026-12-14"},{schedule:"Black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(2026-12-07 - 2026-12-13)",start_date:"N/A",end_date:"N/A"},{schedule:"Personalizado - (2026-10-21 - 2026-11-18)",start_date:"2026-10-21",end_date:"2026-11-03"},{schedule:"Personalizado - (2026-12-01 - 2026-12-19)",start_date:"2026-12-01",end_date:"2026-12-14"},{schedule:"Black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(2026-12-07 - 2026-12-13)",start_date:"N/A",end_date:"N/A"},{schedule:"Personalizado - (2026-10-21 - 2026-11-18)",start_date:"2026-10-21",end_date:"2026-11-03"},{schedule:"Personalizado - (2026-12-01 - 2026-12-19)",start_date:"2026-12-01",end_date:"2026-12-14"},{schedule:"Black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(2026-12-07 - 2026-12-13)",start_date:"N/A",end_date:"N/A"},{schedule:"Personalizado - (2026-10-21 - 2026-11-18)",start_date:"2026-10-21",end_date:"2026-11-03"},{schedule:"Personalizado - (2026-12-01 - 2026-12-19)",start_date:"2026-12-01",end_date:"2026-12-14"},{schedule:"Black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(2026-12-07 - 2026-12-13)",start_date:"N/A",end_date:"N/A"},{schedule:"Personalizado - (2026-10-21 - 2026-11-18)",start_date:"2026-10-21",end_date:"2026-11-03"},{schedule:"Personalizado - (2026-12-01 - 2026-12-19)",start_date:"2026-12-01",end_date:"2026-12-14"},{schedule:"Black Friday e Cyber Monday (2026-11-19 - 2026-11-30)",start_date:"N/A",end_date:"N/A"},{schedule:"seg. (2026-10-26 - 2026-11-01)",start_date:"N/A",end_date:"N/A"},{schedule:"seg. (2026-11-02 - 2026-11-08)",start_date:"N/A",end_date:"N/A"},{schedule:"seg. (2026-11-09 - 2026-11-15)",start_date:"N/A",end_date:"N/A"},{schedule:"Black Friday e Cyber Monday (2026-11-19 - 2026-11-30)",start_date:"N/A",end_date:"N/A"},{schedule:"seg. (2026-12-07 - 2026-12-13)",start_date:"N/A",end_date:"N/A"}]},transformationConfigVersion:"2.0",bulkDocumentId:"02956c76-1b4f-4645-a7fe-19093750ebd9",boolean_value:{'Sim,Não':"true",'Não':"false"}}</t>
  </si>
  <si>
    <t>B0H63W8G49</t>
  </si>
  <si>
    <t>Lixeira Inox com Pedal 100 Litros 40x80 cm Aço 430 Polido Cilíndrica para Cozinha e Uso Profissional</t>
  </si>
  <si>
    <t>Oferta Relâmpago</t>
  </si>
  <si>
    <t>Sim,Não</t>
  </si>
  <si>
    <t>P4080</t>
  </si>
  <si>
    <t>https://m.media-amazon.com/images/I/31mnDZUgE6L._SY500_.jpg</t>
  </si>
  <si>
    <t>seg. (2026-10-26 - 2026-11-01),seg. (2026-11-02 - 2026-11-08),seg. (2026-11-09 - 2026-11-15),Black Friday e Cyber Monday (2026-11-19 - 2026-11-30),seg. (2026-12-07 - 2026-12-13)</t>
  </si>
  <si>
    <t>N/A</t>
  </si>
  <si>
    <t>048b18f2-1686-4b65-b5df-6228c31e99ea</t>
  </si>
  <si>
    <t>schedule</t>
  </si>
  <si>
    <t>start_date</t>
  </si>
  <si>
    <t>end_date</t>
  </si>
  <si>
    <t>Personalizado - (2026-10-21 - 2026-11-18)</t>
  </si>
  <si>
    <t>2026-10-21</t>
  </si>
  <si>
    <t>2026-11-03</t>
  </si>
  <si>
    <t>Personalizado - (2026-12-01 - 2026-12-19)</t>
  </si>
  <si>
    <t>2026-12-01</t>
  </si>
  <si>
    <t>2026-12-14</t>
  </si>
  <si>
    <t>Black Friday e Cyber Monday (2026-11-19 - 2026-11-30)</t>
  </si>
  <si>
    <t>seg. (2026-10-26 - 2026-11-01)</t>
  </si>
  <si>
    <t>seg. (2026-11-02 - 2026-11-08)</t>
  </si>
  <si>
    <t>seg. (2026-11-09 - 2026-11-15)</t>
  </si>
  <si>
    <t>seg. (2026-12-07 - 2026-12-13)</t>
  </si>
  <si>
    <t>B0H3QQLFFY</t>
  </si>
  <si>
    <t>Lixeira de Aço Inox com Tampa 3 Litros 16x18 cm Redonda para Pia Cozinha e Banheiro</t>
  </si>
  <si>
    <t>L1618-T</t>
  </si>
  <si>
    <t>https://m.media-amazon.com/images/I/213n+i186pL._SY500_.jpg</t>
  </si>
  <si>
    <t>2110b33a-fb73-4f24-84e8-18e9d94646b2</t>
  </si>
  <si>
    <t>B0H4NLBG1Y</t>
  </si>
  <si>
    <t>Lixeira de Aço Inox com Pedal 50 Litros 30x60 cm Redonda Prateada para Cozinha Escritório</t>
  </si>
  <si>
    <t>Melhor oferta</t>
  </si>
  <si>
    <t>P3060</t>
  </si>
  <si>
    <t>https://m.media-amazon.com/images/I/31jQoSZbwzL._SY500_.jpg</t>
  </si>
  <si>
    <t>Personalizado - (2026-10-21 - 2026-11-18),Personalizado - (2026-12-01 - 2026-12-19),Black Friday e Cyber Monday (2026-11-19 - 2026-11-30)</t>
  </si>
  <si>
    <t>309726ce-c483-4b86-b49b-df11558162ff</t>
  </si>
  <si>
    <t>3987b6a4-9d7b-479b-9f40-620f648fabaf</t>
  </si>
  <si>
    <t>B0H6C5CTSC</t>
  </si>
  <si>
    <t>Lixeira de Aço Inox com Tampa 7 Litros 20x25 cm Redonda Prateada para Banheiro e Cozinha</t>
  </si>
  <si>
    <t>L2025-T</t>
  </si>
  <si>
    <t>https://m.media-amazon.com/images/I/31iNT3GiS2L._SY500_.jpg</t>
  </si>
  <si>
    <t>3b609f62-2f77-426f-b192-3e0f4bfee994</t>
  </si>
  <si>
    <t>B0H63FKGPJ</t>
  </si>
  <si>
    <t>Lixeira Inox 60 Litros com Tampa Pedal 30x70 centímetros Redonda Aço Inox 430 Polido</t>
  </si>
  <si>
    <t>P3070</t>
  </si>
  <si>
    <t>https://m.media-amazon.com/images/I/316HeuzJT1L._SY500_.jpg</t>
  </si>
  <si>
    <t>428ea2cf-92f8-427f-8e00-2f5fed014fdc</t>
  </si>
  <si>
    <t>97f9cb25-aa6d-4077-b4f5-f79ba5d22879</t>
  </si>
  <si>
    <t>B0H4S3FHG6</t>
  </si>
  <si>
    <t>Suporte de Chão para Extintor de Incêndio de 6 kg em Aço Inox 20x50 cm Porta Extintor Áreas Internas</t>
  </si>
  <si>
    <t>PXM</t>
  </si>
  <si>
    <t>https://m.media-amazon.com/images/I/31L9xqI716L._SY500_.jpg</t>
  </si>
  <si>
    <t>b1365f56-5f20-415b-aac7-23c49dbe2c88</t>
  </si>
  <si>
    <t>b1699ffa-26ca-46dc-a5d6-7cd8a2085be9</t>
  </si>
  <si>
    <t>c532c98c-5a3f-402d-8bf4-2a13fa74d853</t>
  </si>
  <si>
    <t>e8406ca0-dad6-4063-9699-31719a3c7414</t>
  </si>
  <si>
    <t>f771a0b3-bb8e-4889-b0d0-82d90af8a6c5</t>
  </si>
  <si>
    <t>Sim</t>
  </si>
  <si>
    <t>Não</t>
  </si>
</sst>
</file>

<file path=xl/styles.xml><?xml version="1.0" encoding="utf-8"?>
<styleSheet xmlns="http://schemas.openxmlformats.org/spreadsheetml/2006/main">
  <numFmts count="1">
    <numFmt numFmtId="164" formatCode="yyyy-MM-dd"/>
  </numFmts>
  <fonts count="5">
    <font>
      <sz val="11.0"/>
      <color indexed="8"/>
      <name val="Calibri"/>
      <family val="2"/>
      <scheme val="minor"/>
    </font>
    <font>
      <name val="Calibri"/>
      <sz val="13.0"/>
      <b val="true"/>
    </font>
    <font>
      <name val="Calibri"/>
      <sz val="13.0"/>
      <b val="true"/>
    </font>
    <font>
      <name val="Calibri"/>
      <sz val="13.0"/>
      <b val="true"/>
    </font>
    <font>
      <name val="Calibri"/>
      <sz val="13.0"/>
      <b val="true"/>
    </font>
  </fonts>
  <fills count="7">
    <fill>
      <patternFill patternType="none"/>
    </fill>
    <fill>
      <patternFill patternType="darkGray"/>
    </fill>
    <fill>
      <patternFill patternType="solid"/>
    </fill>
    <fill>
      <patternFill patternType="solid">
        <fgColor rgb="FFF2F2F2"/>
      </patternFill>
    </fill>
    <fill>
      <patternFill patternType="solid">
        <fgColor rgb="FFD9D9D9"/>
      </patternFill>
    </fill>
    <fill>
      <patternFill patternType="solid">
        <fgColor rgb="FFE4EEDC"/>
      </patternFill>
    </fill>
    <fill>
      <patternFill/>
    </fill>
  </fills>
  <borders count="24">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55"/>
      </bottom>
    </border>
    <border>
      <left style="thin">
        <color indexed="55"/>
      </left>
      <right style="thin"/>
      <top style="thin"/>
      <bottom style="thin">
        <color indexed="55"/>
      </bottom>
    </border>
    <border>
      <left style="thin">
        <color indexed="55"/>
      </left>
      <right style="thin">
        <color indexed="55"/>
      </right>
      <top style="thin"/>
      <bottom style="thin">
        <color indexed="55"/>
      </bottom>
    </border>
    <border>
      <left style="thin">
        <color indexed="55"/>
      </left>
      <right style="thin">
        <color indexed="55"/>
      </right>
      <top style="thin">
        <color indexed="55"/>
      </top>
      <bottom style="thin">
        <color indexed="55"/>
      </bottom>
    </border>
    <border>
      <left style="thin"/>
      <right style="thin"/>
      <top style="thin"/>
      <bottom style="thin">
        <color indexed="0"/>
      </bottom>
    </border>
    <border>
      <left style="thin">
        <color indexed="0"/>
      </left>
      <right style="thin"/>
      <top style="thin"/>
      <bottom style="thin">
        <color indexed="0"/>
      </bottom>
    </border>
    <border>
      <left style="thin">
        <color indexed="0"/>
      </left>
      <right style="thin">
        <color indexed="0"/>
      </right>
      <top style="thin"/>
      <bottom style="thin">
        <color indexed="0"/>
      </bottom>
    </border>
    <border>
      <left style="thin">
        <color indexed="0"/>
      </left>
      <right style="thin">
        <color indexed="0"/>
      </right>
      <top style="thin">
        <color indexed="0"/>
      </top>
      <bottom style="thin">
        <color indexed="0"/>
      </bottom>
    </border>
    <border>
      <left/>
      <right/>
      <top/>
      <bottom>
        <color indexed="0"/>
      </bottom>
      <diagonal/>
    </border>
    <border>
      <left>
        <color indexed="0"/>
      </left>
      <right/>
      <top/>
      <bottom>
        <color indexed="0"/>
      </bottom>
      <diagonal/>
    </border>
    <border>
      <left>
        <color indexed="0"/>
      </left>
      <right>
        <color indexed="0"/>
      </right>
      <top/>
      <bottom>
        <color indexed="0"/>
      </bottom>
      <diagonal/>
    </border>
    <border>
      <left>
        <color indexed="0"/>
      </left>
      <right>
        <color indexed="0"/>
      </right>
      <top>
        <color indexed="0"/>
      </top>
      <bottom>
        <color indexed="0"/>
      </bottom>
      <diagonal/>
    </border>
    <border>
      <left/>
      <right/>
      <top/>
      <bottom>
        <color indexed="55"/>
      </bottom>
      <diagonal/>
    </border>
    <border>
      <left>
        <color indexed="55"/>
      </left>
      <right/>
      <top/>
      <bottom>
        <color indexed="55"/>
      </bottom>
      <diagonal/>
    </border>
    <border>
      <left>
        <color indexed="55"/>
      </left>
      <right>
        <color indexed="55"/>
      </right>
      <top/>
      <bottom>
        <color indexed="55"/>
      </bottom>
      <diagonal/>
    </border>
    <border>
      <left>
        <color indexed="55"/>
      </left>
      <right>
        <color indexed="55"/>
      </right>
      <top>
        <color indexed="55"/>
      </top>
      <bottom>
        <color indexed="55"/>
      </bottom>
      <diagonal/>
    </border>
    <border>
      <left style="thin">
        <color indexed="8"/>
      </left>
      <right style="thin"/>
      <top style="thin"/>
      <bottom style="thin">
        <color indexed="55"/>
      </bottom>
    </border>
    <border>
      <left style="thin">
        <color indexed="8"/>
      </left>
      <right style="thin">
        <color indexed="55"/>
      </right>
      <top style="thin"/>
      <bottom style="thin">
        <color indexed="55"/>
      </bottom>
    </border>
    <border>
      <left style="thin">
        <color indexed="8"/>
      </left>
      <right style="thin">
        <color indexed="55"/>
      </right>
      <top style="thin">
        <color indexed="55"/>
      </top>
      <bottom style="thin">
        <color indexed="55"/>
      </bottom>
    </border>
  </borders>
  <cellStyleXfs count="1">
    <xf numFmtId="0" fontId="0" fillId="0" borderId="0"/>
  </cellStyleXfs>
  <cellXfs count="20">
    <xf numFmtId="0" fontId="0" fillId="0" borderId="0" xfId="0"/>
    <xf numFmtId="0" fontId="0" fillId="3" borderId="8" xfId="0" applyAlignment="true" applyBorder="true" applyNumberFormat="true" applyFill="true" applyFont="true" quotePrefix="false">
      <alignment horizontal="general" vertical="center" indent="0" textRotation="0" wrapText="true" shrinkToFit="false"/>
      <protection hidden="false" locked="false"/>
    </xf>
    <xf numFmtId="0" fontId="1" fillId="4" borderId="12"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2" fillId="3" borderId="12" xfId="0" applyAlignment="true" applyBorder="true" applyNumberFormat="true" applyFill="true" applyFont="true" quotePrefix="false">
      <alignment horizontal="center" vertical="bottom" indent="0" textRotation="0" wrapText="false" shrinkToFit="false"/>
      <protection hidden="false" locked="false"/>
    </xf>
    <xf numFmtId="0" fontId="3" fillId="4" borderId="12" xfId="0" applyAlignment="true" applyBorder="true" applyNumberFormat="true" applyFill="true" applyFont="true" quotePrefix="false">
      <alignment horizontal="center" vertical="bottom" indent="0" textRotation="0" wrapText="false" shrinkToFit="false"/>
      <protection hidden="false" locked="false"/>
    </xf>
    <xf numFmtId="0" fontId="4" fillId="6" borderId="12" xfId="0" applyAlignment="true" applyBorder="true" applyNumberFormat="true" applyFill="true" applyFont="true" quotePrefix="false">
      <alignment horizontal="center" vertical="bottom" indent="0" textRotation="0" wrapText="false" shrinkToFit="false"/>
      <protection hidden="false" locked="false"/>
    </xf>
    <xf numFmtId="0"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16"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20"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20" xfId="0" applyAlignment="true" applyBorder="true" applyNumberFormat="true" applyFill="true" applyFont="true" quotePrefix="false">
      <alignment horizontal="general" vertical="bottom" indent="0" textRotation="0" wrapText="false" shrinkToFit="false"/>
      <protection hidden="false" locked="false"/>
    </xf>
    <xf numFmtId="2"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1"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general" vertical="center" indent="0" textRotation="0" wrapText="true" shrinkToFit="false"/>
      <protection hidden="false" locked="false"/>
    </xf>
    <xf numFmtId="0" fontId="0" fillId="5" borderId="23" xfId="0" applyAlignment="true" applyBorder="true" applyNumberFormat="true" applyFill="true" applyFont="true" quotePrefix="false">
      <alignment horizontal="general" vertical="bottom" indent="0" textRotation="0" wrapText="false" shrinkToFit="false"/>
      <protection hidden="false" locked="false"/>
    </xf>
    <xf numFmtId="1"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2"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center" vertical="center" indent="0" textRotation="0" wrapText="true" shrinkToFit="false"/>
      <protection hidden="false" locked="false"/>
    </xf>
    <xf numFmtId="164" fontId="0" fillId="5" borderId="8" xfId="0" applyAlignment="true" applyBorder="true" applyNumberFormat="true" applyFill="true" applyFont="true" quotePrefix="false">
      <alignment horizontal="center" vertical="center" indent="0" textRotation="0" wrapText="false" shrinkToFit="false"/>
      <protection hidden="true"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30" Target="worksheets/sheet5.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A10"/>
  <sheetViews>
    <sheetView workbookViewId="0" tabSelected="true"/>
  </sheetViews>
  <sheetFormatPr defaultRowHeight="15.0"/>
  <cols>
    <col min="1" max="1" width="255.0" customWidth="true" bestFit="true"/>
  </cols>
  <sheetData>
    <row r="1">
      <c r="A1" t="s" s="2">
        <v>0</v>
      </c>
    </row>
    <row r="2">
      <c r="A2" t="s" s="1">
        <v>1</v>
      </c>
    </row>
    <row r="3">
      <c r="A3" t="s" s="2">
        <v>2</v>
      </c>
    </row>
    <row r="4">
      <c r="A4" t="s" s="1">
        <v>3</v>
      </c>
    </row>
    <row r="5">
      <c r="A5" t="s" s="2">
        <v>4</v>
      </c>
    </row>
    <row r="6">
      <c r="A6" t="s" s="1">
        <v>5</v>
      </c>
    </row>
    <row r="7">
      <c r="A7" t="s" s="2">
        <v>6</v>
      </c>
    </row>
    <row r="8">
      <c r="A8" t="s" s="1">
        <v>7</v>
      </c>
    </row>
    <row r="9">
      <c r="A9" t="s" s="2">
        <v>8</v>
      </c>
    </row>
    <row r="10">
      <c r="A10" t="s" s="1">
        <v>9</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pageMargins bottom="0.75" footer="0.3" header="0.3" left="0.7" right="0.7" top="0.75"/>
</worksheet>
</file>

<file path=xl/worksheets/sheet2.xml><?xml version="1.0" encoding="utf-8"?>
<worksheet xmlns="http://schemas.openxmlformats.org/spreadsheetml/2006/main">
  <dimension ref="A1:E15"/>
  <sheetViews>
    <sheetView workbookViewId="0"/>
  </sheetViews>
  <sheetFormatPr defaultRowHeight="15.0"/>
  <cols>
    <col min="1" max="1" width="39.0625" customWidth="true"/>
    <col min="2" max="2" width="39.0625" customWidth="true"/>
    <col min="3" max="3" width="39.0625" customWidth="true"/>
    <col min="4" max="4" width="39.0625" customWidth="true"/>
    <col min="5" max="5" width="39.0625" customWidth="true"/>
  </cols>
  <sheetData>
    <row r="1">
      <c r="A1" t="s" s="4">
        <v>10</v>
      </c>
      <c r="B1" t="s" s="4">
        <v>11</v>
      </c>
      <c r="C1" t="s" s="4">
        <v>11</v>
      </c>
      <c r="D1" t="s" s="4">
        <v>11</v>
      </c>
      <c r="E1" t="s" s="4">
        <v>11</v>
      </c>
    </row>
    <row r="2">
      <c r="A2" t="s" s="5">
        <v>12</v>
      </c>
      <c r="B2" t="s" s="5">
        <v>13</v>
      </c>
      <c r="C2" t="s" s="5">
        <v>14</v>
      </c>
      <c r="D2" t="s" s="5">
        <v>15</v>
      </c>
      <c r="E2" t="s" s="5">
        <v>16</v>
      </c>
    </row>
    <row r="3">
      <c r="A3" t="s" s="1">
        <v>17</v>
      </c>
      <c r="B3" t="s" s="1">
        <v>18</v>
      </c>
      <c r="C3" t="s" s="1">
        <v>19</v>
      </c>
      <c r="D3" t="s" s="1">
        <v>20</v>
      </c>
      <c r="E3" t="s" s="1">
        <v>21</v>
      </c>
    </row>
    <row r="4">
      <c r="A4" t="s" s="1">
        <v>22</v>
      </c>
      <c r="B4" t="s" s="1">
        <v>23</v>
      </c>
      <c r="C4" t="s" s="1">
        <v>19</v>
      </c>
      <c r="D4" t="s" s="1">
        <v>24</v>
      </c>
      <c r="E4" t="s" s="1">
        <v>21</v>
      </c>
    </row>
    <row r="5">
      <c r="A5" t="s" s="1">
        <v>25</v>
      </c>
      <c r="B5" t="s" s="1">
        <v>26</v>
      </c>
      <c r="C5" t="s" s="1">
        <v>19</v>
      </c>
      <c r="D5" t="s" s="1">
        <v>27</v>
      </c>
      <c r="E5" t="s" s="1">
        <v>21</v>
      </c>
    </row>
    <row r="6">
      <c r="A6" t="s" s="1">
        <v>28</v>
      </c>
      <c r="B6" t="s" s="1">
        <v>29</v>
      </c>
      <c r="C6" t="s" s="1">
        <v>19</v>
      </c>
      <c r="D6" t="s" s="1">
        <v>30</v>
      </c>
      <c r="E6" t="s" s="1">
        <v>21</v>
      </c>
    </row>
    <row r="7">
      <c r="A7" t="s" s="3">
        <v>31</v>
      </c>
      <c r="B7" t="s" s="1">
        <v>32</v>
      </c>
      <c r="C7" t="s" s="1">
        <v>33</v>
      </c>
      <c r="D7" t="s" s="1">
        <v>34</v>
      </c>
      <c r="E7" t="s" s="3">
        <v>35</v>
      </c>
    </row>
    <row r="8">
      <c r="A8" t="s" s="3">
        <v>36</v>
      </c>
      <c r="B8" t="s" s="1">
        <v>37</v>
      </c>
      <c r="C8" t="s" s="1">
        <v>38</v>
      </c>
      <c r="D8" t="s" s="1">
        <v>39</v>
      </c>
      <c r="E8" t="s" s="3">
        <v>35</v>
      </c>
    </row>
    <row r="9">
      <c r="A9" t="s" s="3">
        <v>40</v>
      </c>
      <c r="B9" t="s" s="1">
        <v>41</v>
      </c>
      <c r="C9" t="s" s="1">
        <v>42</v>
      </c>
      <c r="D9" t="s" s="1">
        <v>43</v>
      </c>
      <c r="E9" t="s" s="3">
        <v>35</v>
      </c>
    </row>
    <row r="10">
      <c r="A10" t="s" s="3">
        <v>44</v>
      </c>
      <c r="B10" t="s" s="1">
        <v>45</v>
      </c>
      <c r="C10" t="s" s="1">
        <v>46</v>
      </c>
      <c r="D10" t="s" s="1">
        <v>47</v>
      </c>
      <c r="E10" t="s" s="3">
        <v>35</v>
      </c>
    </row>
    <row r="11">
      <c r="A11" t="s" s="3">
        <v>48</v>
      </c>
      <c r="B11" t="s" s="1">
        <v>49</v>
      </c>
      <c r="C11" t="s" s="1">
        <v>50</v>
      </c>
      <c r="D11" t="s" s="1">
        <v>51</v>
      </c>
      <c r="E11" t="s" s="3">
        <v>35</v>
      </c>
    </row>
    <row r="12">
      <c r="A12" t="s" s="1">
        <v>52</v>
      </c>
      <c r="B12" t="s" s="1">
        <v>53</v>
      </c>
      <c r="C12" t="s" s="1">
        <v>19</v>
      </c>
      <c r="D12" t="s" s="1">
        <v>54</v>
      </c>
      <c r="E12" t="s" s="1">
        <v>21</v>
      </c>
    </row>
    <row r="13">
      <c r="A13" t="s" s="3">
        <v>55</v>
      </c>
      <c r="B13" t="s" s="1">
        <v>56</v>
      </c>
      <c r="C13" t="s" s="1">
        <v>57</v>
      </c>
      <c r="D13" t="s" s="1">
        <v>54</v>
      </c>
      <c r="E13" t="s" s="3">
        <v>35</v>
      </c>
    </row>
    <row r="14">
      <c r="A14" t="s" s="3">
        <v>58</v>
      </c>
      <c r="B14" t="s" s="1">
        <v>59</v>
      </c>
      <c r="C14" t="s" s="1">
        <v>57</v>
      </c>
      <c r="D14" t="s" s="1">
        <v>60</v>
      </c>
      <c r="E14" t="s" s="3">
        <v>35</v>
      </c>
    </row>
    <row r="15">
      <c r="A15" t="s" s="1">
        <v>61</v>
      </c>
      <c r="B15" t="s" s="1">
        <v>62</v>
      </c>
      <c r="C15" t="s" s="1">
        <v>19</v>
      </c>
      <c r="D15" t="s" s="1">
        <v>63</v>
      </c>
      <c r="E15" t="s" s="1">
        <v>21</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mergeCells count="1">
    <mergeCell ref="A1:E1"/>
  </mergeCells>
  <pageMargins bottom="0.75" footer="0.3" header="0.3" left="0.7" right="0.7" top="0.75"/>
</worksheet>
</file>

<file path=xl/worksheets/sheet3.xml><?xml version="1.0" encoding="utf-8"?>
<worksheet xmlns="http://schemas.openxmlformats.org/spreadsheetml/2006/main">
  <dimension ref="A1:P17"/>
  <sheetViews>
    <sheetView workbookViewId="0">
      <pane xSplit="5.0" state="frozen" topLeftCell="F6" activePane="bottomRight" ySplit="5.0"/>
      <selection pane="bottomRight" sqref="B2"/>
    </sheetView>
  </sheetViews>
  <sheetFormatPr defaultRowHeight="15.0"/>
  <cols>
    <col min="1" max="1" width="19.53125" customWidth="true" hidden="true"/>
    <col min="2" max="2" width="19.53125" customWidth="true"/>
    <col min="3" max="3" width="19.53125" customWidth="true"/>
    <col min="4" max="4" width="19.53125" customWidth="true"/>
    <col min="5" max="5" width="19.53125" customWidth="true"/>
    <col min="6" max="6" width="19.53125" customWidth="true" hidden="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hidden="true"/>
  </cols>
  <sheetData>
    <row r="1" hidden="true">
      <c r="A1" t="s" s="0">
        <v>88</v>
      </c>
    </row>
    <row r="2">
      <c r="B2" t="s" s="7">
        <v>87</v>
      </c>
      <c r="C2" t="s" s="7">
        <v>11</v>
      </c>
      <c r="D2" t="s" s="7">
        <v>11</v>
      </c>
      <c r="E2" t="s" s="7">
        <v>11</v>
      </c>
      <c r="F2" t="s" s="7">
        <v>11</v>
      </c>
      <c r="G2" t="s" s="7">
        <v>11</v>
      </c>
      <c r="H2" t="s" s="7">
        <v>11</v>
      </c>
      <c r="I2" t="s" s="7">
        <v>11</v>
      </c>
    </row>
    <row r="3">
      <c r="A3" t="s" s="6">
        <v>64</v>
      </c>
      <c r="B3" t="s" s="6">
        <v>11</v>
      </c>
      <c r="C3" t="s" s="6">
        <v>11</v>
      </c>
      <c r="D3" t="s" s="6">
        <v>11</v>
      </c>
      <c r="E3" t="s" s="6">
        <v>11</v>
      </c>
      <c r="F3" t="s" s="5">
        <v>66</v>
      </c>
      <c r="G3" t="s" s="5">
        <v>11</v>
      </c>
      <c r="H3" t="s" s="5">
        <v>11</v>
      </c>
      <c r="I3" t="s" s="5">
        <v>11</v>
      </c>
      <c r="J3" t="s" s="5">
        <v>11</v>
      </c>
      <c r="K3" t="s" s="5">
        <v>11</v>
      </c>
      <c r="L3" t="s" s="5">
        <v>11</v>
      </c>
      <c r="M3" t="s" s="5">
        <v>11</v>
      </c>
      <c r="N3" t="s" s="5">
        <v>11</v>
      </c>
      <c r="O3" t="s" s="5">
        <v>11</v>
      </c>
      <c r="P3" t="s" s="5">
        <v>11</v>
      </c>
    </row>
    <row r="4">
      <c r="A4" t="s" s="6">
        <v>65</v>
      </c>
      <c r="B4" t="s" s="6">
        <v>17</v>
      </c>
      <c r="C4" t="s" s="6">
        <v>22</v>
      </c>
      <c r="D4" t="s" s="6">
        <v>25</v>
      </c>
      <c r="E4" t="s" s="6">
        <v>28</v>
      </c>
      <c r="F4" t="s" s="6">
        <v>67</v>
      </c>
      <c r="G4" t="s" s="6">
        <v>31</v>
      </c>
      <c r="H4" t="s" s="6">
        <v>36</v>
      </c>
      <c r="I4" t="s" s="6">
        <v>40</v>
      </c>
      <c r="J4" t="s" s="6">
        <v>44</v>
      </c>
      <c r="K4" t="s" s="6">
        <v>48</v>
      </c>
      <c r="L4" t="s" s="6">
        <v>68</v>
      </c>
      <c r="M4" t="s" s="6">
        <v>69</v>
      </c>
      <c r="N4" t="s" s="6">
        <v>58</v>
      </c>
      <c r="O4" t="s" s="6">
        <v>61</v>
      </c>
      <c r="P4" t="s" s="6">
        <v>70</v>
      </c>
    </row>
    <row r="5" hidden="true">
      <c r="A5" t="s" s="0">
        <v>71</v>
      </c>
      <c r="B5" t="s" s="0">
        <v>72</v>
      </c>
      <c r="C5" t="s" s="0">
        <v>73</v>
      </c>
      <c r="D5" t="s" s="0">
        <v>74</v>
      </c>
      <c r="E5" t="s" s="0">
        <v>75</v>
      </c>
      <c r="F5" t="s" s="0">
        <v>76</v>
      </c>
      <c r="G5" t="s" s="0">
        <v>77</v>
      </c>
      <c r="H5" t="s" s="0">
        <v>78</v>
      </c>
      <c r="I5" t="s" s="0">
        <v>79</v>
      </c>
      <c r="J5" t="s" s="0">
        <v>80</v>
      </c>
      <c r="K5" t="s" s="0">
        <v>81</v>
      </c>
      <c r="L5" t="s" s="0">
        <v>82</v>
      </c>
      <c r="M5" t="s" s="0">
        <v>83</v>
      </c>
      <c r="N5" t="s" s="0">
        <v>84</v>
      </c>
      <c r="O5" t="s" s="0">
        <v>85</v>
      </c>
      <c r="P5" t="s" s="0">
        <v>86</v>
      </c>
    </row>
    <row r="6">
      <c r="A6" t="s" s="9">
        <v>89</v>
      </c>
      <c r="B6" t="s" s="10">
        <v>89</v>
      </c>
      <c r="C6" t="s" s="10">
        <v>89</v>
      </c>
      <c r="D6" t="s" s="10">
        <v>90</v>
      </c>
      <c r="E6" t="s" s="10">
        <v>91</v>
      </c>
      <c r="F6" t="s" s="16">
        <v>97</v>
      </c>
      <c r="G6" t="s" s="14">
        <v>93</v>
      </c>
      <c r="H6" t="s" s="13">
        <v>145</v>
      </c>
      <c r="I6" t="s" s="18">
        <v>108</v>
      </c>
      <c r="J6" t="s" s="19">
        <f>IFERROR(VLOOKUP(I6,lookup!$A$1:$C$10000,2,FALSE),"NA")</f>
        <v>96</v>
      </c>
      <c r="K6" t="s" s="19">
        <f>IFERROR(VLOOKUP(I6,lookup!$A$1:$C$10000,3,FALSE),"NA")</f>
        <v>96</v>
      </c>
      <c r="L6" t="n" s="11">
        <v>1070.17</v>
      </c>
      <c r="M6" t="n" s="17">
        <v>963.15</v>
      </c>
      <c r="N6" t="n" s="12">
        <v>707.0</v>
      </c>
      <c r="O6" t="n" s="15">
        <v>707.0</v>
      </c>
      <c r="P6" t="s" s="16">
        <v>94</v>
      </c>
    </row>
    <row r="7">
      <c r="A7" t="s" s="9">
        <v>112</v>
      </c>
      <c r="B7" t="s" s="10">
        <v>112</v>
      </c>
      <c r="C7" t="s" s="10">
        <v>112</v>
      </c>
      <c r="D7" t="s" s="10">
        <v>113</v>
      </c>
      <c r="E7" t="s" s="10">
        <v>91</v>
      </c>
      <c r="F7" t="s" s="16">
        <v>116</v>
      </c>
      <c r="G7" t="s" s="14">
        <v>114</v>
      </c>
      <c r="H7" t="s" s="13">
        <v>145</v>
      </c>
      <c r="I7" t="s" s="18">
        <v>108</v>
      </c>
      <c r="J7" t="s" s="19">
        <f>IFERROR(VLOOKUP(I7,lookup!$A$1:$C$10000,2,FALSE),"NA")</f>
        <v>96</v>
      </c>
      <c r="K7" t="s" s="19">
        <f>IFERROR(VLOOKUP(I7,lookup!$A$1:$C$10000,3,FALSE),"NA")</f>
        <v>96</v>
      </c>
      <c r="L7" t="n" s="11">
        <v>116.0</v>
      </c>
      <c r="M7" t="n" s="17">
        <v>104.4</v>
      </c>
      <c r="N7" t="n" s="12">
        <v>322.0</v>
      </c>
      <c r="O7" t="n" s="15">
        <v>322.0</v>
      </c>
      <c r="P7" t="s" s="16">
        <v>115</v>
      </c>
    </row>
    <row r="8">
      <c r="A8" t="s" s="9">
        <v>117</v>
      </c>
      <c r="B8" t="s" s="10">
        <v>117</v>
      </c>
      <c r="C8" t="s" s="10">
        <v>117</v>
      </c>
      <c r="D8" t="s" s="10">
        <v>118</v>
      </c>
      <c r="E8" t="s" s="10">
        <v>119</v>
      </c>
      <c r="F8" t="s" s="16">
        <v>123</v>
      </c>
      <c r="G8" t="s" s="14">
        <v>120</v>
      </c>
      <c r="H8" t="s" s="13">
        <v>145</v>
      </c>
      <c r="I8" t="s" s="18">
        <v>101</v>
      </c>
      <c r="J8" t="s" s="19">
        <f>IFERROR(VLOOKUP(I8,lookup!$A$1:$C$10000,2,FALSE),"NA")</f>
        <v>102</v>
      </c>
      <c r="K8" t="s" s="19">
        <f>IFERROR(VLOOKUP(I8,lookup!$A$1:$C$10000,3,FALSE),"NA")</f>
        <v>103</v>
      </c>
      <c r="L8" t="n" s="11">
        <v>511.42</v>
      </c>
      <c r="M8" t="n" s="17">
        <v>460.28</v>
      </c>
      <c r="N8" t="n" s="12">
        <v>418.0</v>
      </c>
      <c r="O8" t="n" s="15">
        <v>418.0</v>
      </c>
      <c r="P8" t="s" s="16">
        <v>121</v>
      </c>
    </row>
    <row r="9">
      <c r="A9" t="s" s="9">
        <v>112</v>
      </c>
      <c r="B9" t="s" s="10">
        <v>112</v>
      </c>
      <c r="C9" t="s" s="10">
        <v>112</v>
      </c>
      <c r="D9" t="s" s="10">
        <v>113</v>
      </c>
      <c r="E9" t="s" s="10">
        <v>119</v>
      </c>
      <c r="F9" t="s" s="16">
        <v>124</v>
      </c>
      <c r="G9" t="s" s="14">
        <v>114</v>
      </c>
      <c r="H9" t="s" s="13">
        <v>145</v>
      </c>
      <c r="I9" t="s" s="18">
        <v>101</v>
      </c>
      <c r="J9" t="s" s="19">
        <f>IFERROR(VLOOKUP(I9,lookup!$A$1:$C$10000,2,FALSE),"NA")</f>
        <v>102</v>
      </c>
      <c r="K9" t="s" s="19">
        <f>IFERROR(VLOOKUP(I9,lookup!$A$1:$C$10000,3,FALSE),"NA")</f>
        <v>103</v>
      </c>
      <c r="L9" t="n" s="11">
        <v>116.0</v>
      </c>
      <c r="M9" t="n" s="17">
        <v>104.4</v>
      </c>
      <c r="N9" t="n" s="12">
        <v>322.0</v>
      </c>
      <c r="O9" t="n" s="15">
        <v>322.0</v>
      </c>
      <c r="P9" t="s" s="16">
        <v>115</v>
      </c>
    </row>
    <row r="10">
      <c r="A10" t="s" s="9">
        <v>125</v>
      </c>
      <c r="B10" t="s" s="10">
        <v>125</v>
      </c>
      <c r="C10" t="s" s="10">
        <v>125</v>
      </c>
      <c r="D10" t="s" s="10">
        <v>126</v>
      </c>
      <c r="E10" t="s" s="10">
        <v>91</v>
      </c>
      <c r="F10" t="s" s="16">
        <v>129</v>
      </c>
      <c r="G10" t="s" s="14">
        <v>127</v>
      </c>
      <c r="H10" t="s" s="13">
        <v>145</v>
      </c>
      <c r="I10" t="s" s="18">
        <v>108</v>
      </c>
      <c r="J10" t="s" s="19">
        <f>IFERROR(VLOOKUP(I10,lookup!$A$1:$C$10000,2,FALSE),"NA")</f>
        <v>96</v>
      </c>
      <c r="K10" t="s" s="19">
        <f>IFERROR(VLOOKUP(I10,lookup!$A$1:$C$10000,3,FALSE),"NA")</f>
        <v>96</v>
      </c>
      <c r="L10" t="n" s="11">
        <v>132.9</v>
      </c>
      <c r="M10" t="n" s="17">
        <v>119.61</v>
      </c>
      <c r="N10" t="n" s="12">
        <v>540.0</v>
      </c>
      <c r="O10" t="n" s="15">
        <v>540.0</v>
      </c>
      <c r="P10" t="s" s="16">
        <v>128</v>
      </c>
    </row>
    <row r="11">
      <c r="A11" t="s" s="9">
        <v>130</v>
      </c>
      <c r="B11" t="s" s="10">
        <v>130</v>
      </c>
      <c r="C11" t="s" s="10">
        <v>130</v>
      </c>
      <c r="D11" t="s" s="10">
        <v>131</v>
      </c>
      <c r="E11" t="s" s="10">
        <v>91</v>
      </c>
      <c r="F11" t="s" s="16">
        <v>134</v>
      </c>
      <c r="G11" t="s" s="14">
        <v>132</v>
      </c>
      <c r="H11" t="s" s="13">
        <v>145</v>
      </c>
      <c r="I11" t="s" s="18">
        <v>108</v>
      </c>
      <c r="J11" t="s" s="19">
        <f>IFERROR(VLOOKUP(I11,lookup!$A$1:$C$10000,2,FALSE),"NA")</f>
        <v>96</v>
      </c>
      <c r="K11" t="s" s="19">
        <f>IFERROR(VLOOKUP(I11,lookup!$A$1:$C$10000,3,FALSE),"NA")</f>
        <v>96</v>
      </c>
      <c r="L11" t="n" s="11">
        <v>616.18</v>
      </c>
      <c r="M11" t="n" s="17">
        <v>554.56</v>
      </c>
      <c r="N11" t="n" s="12">
        <v>901.0</v>
      </c>
      <c r="O11" t="n" s="15">
        <v>901.0</v>
      </c>
      <c r="P11" t="s" s="16">
        <v>133</v>
      </c>
    </row>
    <row r="12">
      <c r="A12" t="s" s="9">
        <v>89</v>
      </c>
      <c r="B12" t="s" s="10">
        <v>89</v>
      </c>
      <c r="C12" t="s" s="10">
        <v>89</v>
      </c>
      <c r="D12" t="s" s="10">
        <v>90</v>
      </c>
      <c r="E12" t="s" s="10">
        <v>119</v>
      </c>
      <c r="F12" t="s" s="16">
        <v>135</v>
      </c>
      <c r="G12" t="s" s="14">
        <v>93</v>
      </c>
      <c r="H12" t="s" s="13">
        <v>145</v>
      </c>
      <c r="I12" t="s" s="18">
        <v>101</v>
      </c>
      <c r="J12" t="s" s="19">
        <f>IFERROR(VLOOKUP(I12,lookup!$A$1:$C$10000,2,FALSE),"NA")</f>
        <v>102</v>
      </c>
      <c r="K12" t="s" s="19">
        <f>IFERROR(VLOOKUP(I12,lookup!$A$1:$C$10000,3,FALSE),"NA")</f>
        <v>103</v>
      </c>
      <c r="L12" t="n" s="11">
        <v>1070.17</v>
      </c>
      <c r="M12" t="n" s="17">
        <v>963.15</v>
      </c>
      <c r="N12" t="n" s="12">
        <v>707.0</v>
      </c>
      <c r="O12" t="n" s="15">
        <v>707.0</v>
      </c>
      <c r="P12" t="s" s="16">
        <v>94</v>
      </c>
    </row>
    <row r="13">
      <c r="A13" t="s" s="9">
        <v>136</v>
      </c>
      <c r="B13" t="s" s="10">
        <v>136</v>
      </c>
      <c r="C13" t="s" s="10">
        <v>136</v>
      </c>
      <c r="D13" t="s" s="10">
        <v>137</v>
      </c>
      <c r="E13" t="s" s="10">
        <v>91</v>
      </c>
      <c r="F13" t="s" s="16">
        <v>140</v>
      </c>
      <c r="G13" t="s" s="14">
        <v>138</v>
      </c>
      <c r="H13" t="s" s="13">
        <v>145</v>
      </c>
      <c r="I13" t="s" s="18">
        <v>108</v>
      </c>
      <c r="J13" t="s" s="19">
        <f>IFERROR(VLOOKUP(I13,lookup!$A$1:$C$10000,2,FALSE),"NA")</f>
        <v>96</v>
      </c>
      <c r="K13" t="s" s="19">
        <f>IFERROR(VLOOKUP(I13,lookup!$A$1:$C$10000,3,FALSE),"NA")</f>
        <v>96</v>
      </c>
      <c r="L13" t="n" s="11">
        <v>203.54</v>
      </c>
      <c r="M13" t="n" s="17">
        <v>193.35</v>
      </c>
      <c r="N13" t="n" s="12">
        <v>414.0</v>
      </c>
      <c r="O13" t="n" s="15">
        <v>414.0</v>
      </c>
      <c r="P13" t="s" s="16">
        <v>139</v>
      </c>
    </row>
    <row r="14">
      <c r="A14" t="s" s="9">
        <v>117</v>
      </c>
      <c r="B14" t="s" s="10">
        <v>117</v>
      </c>
      <c r="C14" t="s" s="10">
        <v>117</v>
      </c>
      <c r="D14" t="s" s="10">
        <v>118</v>
      </c>
      <c r="E14" t="s" s="10">
        <v>91</v>
      </c>
      <c r="F14" t="s" s="16">
        <v>141</v>
      </c>
      <c r="G14" t="s" s="14">
        <v>120</v>
      </c>
      <c r="H14" t="s" s="13">
        <v>145</v>
      </c>
      <c r="I14" t="s" s="18">
        <v>108</v>
      </c>
      <c r="J14" t="s" s="19">
        <f>IFERROR(VLOOKUP(I14,lookup!$A$1:$C$10000,2,FALSE),"NA")</f>
        <v>96</v>
      </c>
      <c r="K14" t="s" s="19">
        <f>IFERROR(VLOOKUP(I14,lookup!$A$1:$C$10000,3,FALSE),"NA")</f>
        <v>96</v>
      </c>
      <c r="L14" t="n" s="11">
        <v>511.42</v>
      </c>
      <c r="M14" t="n" s="17">
        <v>460.28</v>
      </c>
      <c r="N14" t="n" s="12">
        <v>418.0</v>
      </c>
      <c r="O14" t="n" s="15">
        <v>418.0</v>
      </c>
      <c r="P14" t="s" s="16">
        <v>121</v>
      </c>
    </row>
    <row r="15">
      <c r="A15" t="s" s="9">
        <v>136</v>
      </c>
      <c r="B15" t="s" s="10">
        <v>136</v>
      </c>
      <c r="C15" t="s" s="10">
        <v>136</v>
      </c>
      <c r="D15" t="s" s="10">
        <v>137</v>
      </c>
      <c r="E15" t="s" s="10">
        <v>119</v>
      </c>
      <c r="F15" t="s" s="16">
        <v>142</v>
      </c>
      <c r="G15" t="s" s="14">
        <v>138</v>
      </c>
      <c r="H15" t="s" s="13">
        <v>145</v>
      </c>
      <c r="I15" t="s" s="18">
        <v>101</v>
      </c>
      <c r="J15" t="s" s="19">
        <f>IFERROR(VLOOKUP(I15,lookup!$A$1:$C$10000,2,FALSE),"NA")</f>
        <v>102</v>
      </c>
      <c r="K15" t="s" s="19">
        <f>IFERROR(VLOOKUP(I15,lookup!$A$1:$C$10000,3,FALSE),"NA")</f>
        <v>103</v>
      </c>
      <c r="L15" t="n" s="11">
        <v>203.54</v>
      </c>
      <c r="M15" t="n" s="17">
        <v>193.35</v>
      </c>
      <c r="N15" t="n" s="12">
        <v>414.0</v>
      </c>
      <c r="O15" t="n" s="15">
        <v>414.0</v>
      </c>
      <c r="P15" t="s" s="16">
        <v>139</v>
      </c>
    </row>
    <row r="16">
      <c r="A16" t="s" s="9">
        <v>130</v>
      </c>
      <c r="B16" t="s" s="10">
        <v>130</v>
      </c>
      <c r="C16" t="s" s="10">
        <v>130</v>
      </c>
      <c r="D16" t="s" s="10">
        <v>131</v>
      </c>
      <c r="E16" t="s" s="10">
        <v>119</v>
      </c>
      <c r="F16" t="s" s="16">
        <v>143</v>
      </c>
      <c r="G16" t="s" s="14">
        <v>132</v>
      </c>
      <c r="H16" t="s" s="13">
        <v>145</v>
      </c>
      <c r="I16" t="s" s="18">
        <v>101</v>
      </c>
      <c r="J16" t="s" s="19">
        <f>IFERROR(VLOOKUP(I16,lookup!$A$1:$C$10000,2,FALSE),"NA")</f>
        <v>102</v>
      </c>
      <c r="K16" t="s" s="19">
        <f>IFERROR(VLOOKUP(I16,lookup!$A$1:$C$10000,3,FALSE),"NA")</f>
        <v>103</v>
      </c>
      <c r="L16" t="n" s="11">
        <v>616.18</v>
      </c>
      <c r="M16" t="n" s="17">
        <v>554.56</v>
      </c>
      <c r="N16" t="n" s="12">
        <v>901.0</v>
      </c>
      <c r="O16" t="n" s="15">
        <v>901.0</v>
      </c>
      <c r="P16" t="s" s="16">
        <v>133</v>
      </c>
    </row>
    <row r="17">
      <c r="A17" t="s" s="9">
        <v>125</v>
      </c>
      <c r="B17" t="s" s="10">
        <v>125</v>
      </c>
      <c r="C17" t="s" s="10">
        <v>125</v>
      </c>
      <c r="D17" t="s" s="10">
        <v>126</v>
      </c>
      <c r="E17" t="s" s="10">
        <v>119</v>
      </c>
      <c r="F17" t="s" s="16">
        <v>144</v>
      </c>
      <c r="G17" t="s" s="14">
        <v>127</v>
      </c>
      <c r="H17" t="s" s="13">
        <v>145</v>
      </c>
      <c r="I17" t="s" s="18">
        <v>101</v>
      </c>
      <c r="J17" t="s" s="19">
        <f>IFERROR(VLOOKUP(I17,lookup!$A$1:$C$10000,2,FALSE),"NA")</f>
        <v>102</v>
      </c>
      <c r="K17" t="s" s="19">
        <f>IFERROR(VLOOKUP(I17,lookup!$A$1:$C$10000,3,FALSE),"NA")</f>
        <v>103</v>
      </c>
      <c r="L17" t="n" s="11">
        <v>132.9</v>
      </c>
      <c r="M17" t="n" s="17">
        <v>119.61</v>
      </c>
      <c r="N17" t="n" s="12">
        <v>540.0</v>
      </c>
      <c r="O17" t="n" s="15">
        <v>540.0</v>
      </c>
      <c r="P17" t="s" s="16">
        <v>128</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autoFilter ref="A4:P4"/>
  <mergeCells count="3">
    <mergeCell ref="A3:E3"/>
    <mergeCell ref="F3:P3"/>
    <mergeCell ref="B2:I2"/>
  </mergeCells>
  <dataValidations count="24">
    <dataValidation type="list" sqref="H6" allowBlank="true" errorStyle="stop" showDropDown="false">
      <formula1>DropdownRange_0</formula1>
    </dataValidation>
    <dataValidation type="list" sqref="H7" allowBlank="true" errorStyle="stop" showDropDown="false">
      <formula1>DropdownRange_0</formula1>
    </dataValidation>
    <dataValidation type="list" sqref="H8" allowBlank="true" errorStyle="stop" showDropDown="false">
      <formula1>DropdownRange_0</formula1>
    </dataValidation>
    <dataValidation type="list" sqref="H9" allowBlank="true" errorStyle="stop" showDropDown="false">
      <formula1>DropdownRange_0</formula1>
    </dataValidation>
    <dataValidation type="list" sqref="H10" allowBlank="true" errorStyle="stop" showDropDown="false">
      <formula1>DropdownRange_0</formula1>
    </dataValidation>
    <dataValidation type="list" sqref="H11" allowBlank="true" errorStyle="stop" showDropDown="false">
      <formula1>DropdownRange_0</formula1>
    </dataValidation>
    <dataValidation type="list" sqref="H12" allowBlank="true" errorStyle="stop" showDropDown="false">
      <formula1>DropdownRange_0</formula1>
    </dataValidation>
    <dataValidation type="list" sqref="H13" allowBlank="true" errorStyle="stop" showDropDown="false">
      <formula1>DropdownRange_0</formula1>
    </dataValidation>
    <dataValidation type="list" sqref="H14" allowBlank="true" errorStyle="stop" showDropDown="false">
      <formula1>DropdownRange_0</formula1>
    </dataValidation>
    <dataValidation type="list" sqref="H15" allowBlank="true" errorStyle="stop" showDropDown="false">
      <formula1>DropdownRange_0</formula1>
    </dataValidation>
    <dataValidation type="list" sqref="H16" allowBlank="true" errorStyle="stop" showDropDown="false">
      <formula1>DropdownRange_0</formula1>
    </dataValidation>
    <dataValidation type="list" sqref="H17" allowBlank="true" errorStyle="stop" showDropDown="false">
      <formula1>DropdownRange_0</formula1>
    </dataValidation>
    <dataValidation type="list" sqref="I6" allowBlank="true" errorStyle="stop" showDropDown="false">
      <formula1>DropdownRange_1</formula1>
    </dataValidation>
    <dataValidation type="list" sqref="I7" allowBlank="true" errorStyle="stop" showDropDown="false">
      <formula1>DropdownRange_1</formula1>
    </dataValidation>
    <dataValidation type="list" sqref="I8" allowBlank="true" errorStyle="stop" showDropDown="false">
      <formula1>DropdownRange_2</formula1>
    </dataValidation>
    <dataValidation type="list" sqref="I9" allowBlank="true" errorStyle="stop" showDropDown="false">
      <formula1>DropdownRange_2</formula1>
    </dataValidation>
    <dataValidation type="list" sqref="I10" allowBlank="true" errorStyle="stop" showDropDown="false">
      <formula1>DropdownRange_1</formula1>
    </dataValidation>
    <dataValidation type="list" sqref="I11" allowBlank="true" errorStyle="stop" showDropDown="false">
      <formula1>DropdownRange_1</formula1>
    </dataValidation>
    <dataValidation type="list" sqref="I12" allowBlank="true" errorStyle="stop" showDropDown="false">
      <formula1>DropdownRange_2</formula1>
    </dataValidation>
    <dataValidation type="list" sqref="I13" allowBlank="true" errorStyle="stop" showDropDown="false">
      <formula1>DropdownRange_1</formula1>
    </dataValidation>
    <dataValidation type="list" sqref="I14" allowBlank="true" errorStyle="stop" showDropDown="false">
      <formula1>DropdownRange_1</formula1>
    </dataValidation>
    <dataValidation type="list" sqref="I15" allowBlank="true" errorStyle="stop" showDropDown="false">
      <formula1>DropdownRange_2</formula1>
    </dataValidation>
    <dataValidation type="list" sqref="I16" allowBlank="true" errorStyle="stop" showDropDown="false">
      <formula1>DropdownRange_2</formula1>
    </dataValidation>
    <dataValidation type="list" sqref="I17" allowBlank="true" errorStyle="stop" showDropDown="false">
      <formula1>DropdownRange_2</formula1>
    </dataValidation>
  </dataValidations>
  <pageMargins bottom="0.75" footer="0.3" header="0.3" left="0.7" right="0.7" top="0.75"/>
</worksheet>
</file>

<file path=xl/worksheets/sheet4.xml><?xml version="1.0" encoding="utf-8"?>
<worksheet xmlns="http://schemas.openxmlformats.org/spreadsheetml/2006/main">
  <dimension ref="A1:C5"/>
  <sheetViews>
    <sheetView workbookViewId="0"/>
  </sheetViews>
  <sheetFormatPr defaultRowHeight="15.0"/>
  <sheetData>
    <row r="1">
      <c r="A1" t="s" s="0">
        <v>145</v>
      </c>
      <c r="B1" t="s" s="0">
        <v>108</v>
      </c>
      <c r="C1" t="s" s="0">
        <v>101</v>
      </c>
    </row>
    <row r="2">
      <c r="A2" t="s" s="0">
        <v>146</v>
      </c>
      <c r="B2" t="s" s="0">
        <v>109</v>
      </c>
      <c r="C2" t="s" s="0">
        <v>104</v>
      </c>
    </row>
    <row r="3">
      <c r="B3" t="s" s="0">
        <v>110</v>
      </c>
      <c r="C3" t="s" s="0">
        <v>107</v>
      </c>
    </row>
    <row r="4">
      <c r="B4" t="s" s="0">
        <v>107</v>
      </c>
    </row>
    <row r="5">
      <c r="B5" t="s" s="0">
        <v>111</v>
      </c>
    </row>
  </sheetData>
  <pageMargins bottom="0.75" footer="0.3" header="0.3" left="0.7" right="0.7" top="0.75"/>
</worksheet>
</file>

<file path=xl/worksheets/sheet5.xml><?xml version="1.0" encoding="utf-8"?>
<worksheet xmlns="http://schemas.openxmlformats.org/spreadsheetml/2006/main">
  <dimension ref="A1:C49"/>
  <sheetViews>
    <sheetView workbookViewId="0"/>
  </sheetViews>
  <sheetFormatPr defaultRowHeight="15.0"/>
  <sheetData>
    <row r="1">
      <c r="A1" t="s" s="0">
        <v>98</v>
      </c>
      <c r="B1" t="s" s="0">
        <v>99</v>
      </c>
      <c r="C1" t="s" s="0">
        <v>100</v>
      </c>
    </row>
    <row r="2">
      <c r="A2" t="s" s="0">
        <v>101</v>
      </c>
      <c r="B2" t="s" s="0">
        <v>102</v>
      </c>
      <c r="C2" t="s" s="0">
        <v>103</v>
      </c>
    </row>
    <row r="3">
      <c r="A3" t="s" s="0">
        <v>104</v>
      </c>
      <c r="B3" t="s" s="0">
        <v>105</v>
      </c>
      <c r="C3" t="s" s="0">
        <v>106</v>
      </c>
    </row>
    <row r="4">
      <c r="A4" t="s" s="0">
        <v>107</v>
      </c>
      <c r="B4" t="s" s="0">
        <v>96</v>
      </c>
      <c r="C4" t="s" s="0">
        <v>96</v>
      </c>
    </row>
    <row r="5">
      <c r="A5" t="s" s="0">
        <v>108</v>
      </c>
      <c r="B5" t="s" s="0">
        <v>96</v>
      </c>
      <c r="C5" t="s" s="0">
        <v>96</v>
      </c>
    </row>
    <row r="6">
      <c r="A6" t="s" s="0">
        <v>109</v>
      </c>
      <c r="B6" t="s" s="0">
        <v>96</v>
      </c>
      <c r="C6" t="s" s="0">
        <v>96</v>
      </c>
    </row>
    <row r="7">
      <c r="A7" t="s" s="0">
        <v>110</v>
      </c>
      <c r="B7" t="s" s="0">
        <v>96</v>
      </c>
      <c r="C7" t="s" s="0">
        <v>96</v>
      </c>
    </row>
    <row r="8">
      <c r="A8" t="s" s="0">
        <v>107</v>
      </c>
      <c r="B8" t="s" s="0">
        <v>96</v>
      </c>
      <c r="C8" t="s" s="0">
        <v>96</v>
      </c>
    </row>
    <row r="9">
      <c r="A9" t="s" s="0">
        <v>111</v>
      </c>
      <c r="B9" t="s" s="0">
        <v>96</v>
      </c>
      <c r="C9" t="s" s="0">
        <v>96</v>
      </c>
    </row>
    <row r="10">
      <c r="A10" t="s" s="0">
        <v>101</v>
      </c>
      <c r="B10" t="s" s="0">
        <v>102</v>
      </c>
      <c r="C10" t="s" s="0">
        <v>103</v>
      </c>
    </row>
    <row r="11">
      <c r="A11" t="s" s="0">
        <v>104</v>
      </c>
      <c r="B11" t="s" s="0">
        <v>105</v>
      </c>
      <c r="C11" t="s" s="0">
        <v>106</v>
      </c>
    </row>
    <row r="12">
      <c r="A12" t="s" s="0">
        <v>107</v>
      </c>
      <c r="B12" t="s" s="0">
        <v>96</v>
      </c>
      <c r="C12" t="s" s="0">
        <v>96</v>
      </c>
    </row>
    <row r="13">
      <c r="A13" t="s" s="0">
        <v>108</v>
      </c>
      <c r="B13" t="s" s="0">
        <v>96</v>
      </c>
      <c r="C13" t="s" s="0">
        <v>96</v>
      </c>
    </row>
    <row r="14">
      <c r="A14" t="s" s="0">
        <v>109</v>
      </c>
      <c r="B14" t="s" s="0">
        <v>96</v>
      </c>
      <c r="C14" t="s" s="0">
        <v>96</v>
      </c>
    </row>
    <row r="15">
      <c r="A15" t="s" s="0">
        <v>110</v>
      </c>
      <c r="B15" t="s" s="0">
        <v>96</v>
      </c>
      <c r="C15" t="s" s="0">
        <v>96</v>
      </c>
    </row>
    <row r="16">
      <c r="A16" t="s" s="0">
        <v>107</v>
      </c>
      <c r="B16" t="s" s="0">
        <v>96</v>
      </c>
      <c r="C16" t="s" s="0">
        <v>96</v>
      </c>
    </row>
    <row r="17">
      <c r="A17" t="s" s="0">
        <v>111</v>
      </c>
      <c r="B17" t="s" s="0">
        <v>96</v>
      </c>
      <c r="C17" t="s" s="0">
        <v>96</v>
      </c>
    </row>
    <row r="18">
      <c r="A18" t="s" s="0">
        <v>101</v>
      </c>
      <c r="B18" t="s" s="0">
        <v>102</v>
      </c>
      <c r="C18" t="s" s="0">
        <v>103</v>
      </c>
    </row>
    <row r="19">
      <c r="A19" t="s" s="0">
        <v>104</v>
      </c>
      <c r="B19" t="s" s="0">
        <v>105</v>
      </c>
      <c r="C19" t="s" s="0">
        <v>106</v>
      </c>
    </row>
    <row r="20">
      <c r="A20" t="s" s="0">
        <v>107</v>
      </c>
      <c r="B20" t="s" s="0">
        <v>96</v>
      </c>
      <c r="C20" t="s" s="0">
        <v>96</v>
      </c>
    </row>
    <row r="21">
      <c r="A21" t="s" s="0">
        <v>108</v>
      </c>
      <c r="B21" t="s" s="0">
        <v>96</v>
      </c>
      <c r="C21" t="s" s="0">
        <v>96</v>
      </c>
    </row>
    <row r="22">
      <c r="A22" t="s" s="0">
        <v>109</v>
      </c>
      <c r="B22" t="s" s="0">
        <v>96</v>
      </c>
      <c r="C22" t="s" s="0">
        <v>96</v>
      </c>
    </row>
    <row r="23">
      <c r="A23" t="s" s="0">
        <v>110</v>
      </c>
      <c r="B23" t="s" s="0">
        <v>96</v>
      </c>
      <c r="C23" t="s" s="0">
        <v>96</v>
      </c>
    </row>
    <row r="24">
      <c r="A24" t="s" s="0">
        <v>107</v>
      </c>
      <c r="B24" t="s" s="0">
        <v>96</v>
      </c>
      <c r="C24" t="s" s="0">
        <v>96</v>
      </c>
    </row>
    <row r="25">
      <c r="A25" t="s" s="0">
        <v>111</v>
      </c>
      <c r="B25" t="s" s="0">
        <v>96</v>
      </c>
      <c r="C25" t="s" s="0">
        <v>96</v>
      </c>
    </row>
    <row r="26">
      <c r="A26" t="s" s="0">
        <v>101</v>
      </c>
      <c r="B26" t="s" s="0">
        <v>102</v>
      </c>
      <c r="C26" t="s" s="0">
        <v>103</v>
      </c>
    </row>
    <row r="27">
      <c r="A27" t="s" s="0">
        <v>104</v>
      </c>
      <c r="B27" t="s" s="0">
        <v>105</v>
      </c>
      <c r="C27" t="s" s="0">
        <v>106</v>
      </c>
    </row>
    <row r="28">
      <c r="A28" t="s" s="0">
        <v>107</v>
      </c>
      <c r="B28" t="s" s="0">
        <v>96</v>
      </c>
      <c r="C28" t="s" s="0">
        <v>96</v>
      </c>
    </row>
    <row r="29">
      <c r="A29" t="s" s="0">
        <v>108</v>
      </c>
      <c r="B29" t="s" s="0">
        <v>96</v>
      </c>
      <c r="C29" t="s" s="0">
        <v>96</v>
      </c>
    </row>
    <row r="30">
      <c r="A30" t="s" s="0">
        <v>109</v>
      </c>
      <c r="B30" t="s" s="0">
        <v>96</v>
      </c>
      <c r="C30" t="s" s="0">
        <v>96</v>
      </c>
    </row>
    <row r="31">
      <c r="A31" t="s" s="0">
        <v>110</v>
      </c>
      <c r="B31" t="s" s="0">
        <v>96</v>
      </c>
      <c r="C31" t="s" s="0">
        <v>96</v>
      </c>
    </row>
    <row r="32">
      <c r="A32" t="s" s="0">
        <v>107</v>
      </c>
      <c r="B32" t="s" s="0">
        <v>96</v>
      </c>
      <c r="C32" t="s" s="0">
        <v>96</v>
      </c>
    </row>
    <row r="33">
      <c r="A33" t="s" s="0">
        <v>111</v>
      </c>
      <c r="B33" t="s" s="0">
        <v>96</v>
      </c>
      <c r="C33" t="s" s="0">
        <v>96</v>
      </c>
    </row>
    <row r="34">
      <c r="A34" t="s" s="0">
        <v>101</v>
      </c>
      <c r="B34" t="s" s="0">
        <v>102</v>
      </c>
      <c r="C34" t="s" s="0">
        <v>103</v>
      </c>
    </row>
    <row r="35">
      <c r="A35" t="s" s="0">
        <v>104</v>
      </c>
      <c r="B35" t="s" s="0">
        <v>105</v>
      </c>
      <c r="C35" t="s" s="0">
        <v>106</v>
      </c>
    </row>
    <row r="36">
      <c r="A36" t="s" s="0">
        <v>107</v>
      </c>
      <c r="B36" t="s" s="0">
        <v>96</v>
      </c>
      <c r="C36" t="s" s="0">
        <v>96</v>
      </c>
    </row>
    <row r="37">
      <c r="A37" t="s" s="0">
        <v>108</v>
      </c>
      <c r="B37" t="s" s="0">
        <v>96</v>
      </c>
      <c r="C37" t="s" s="0">
        <v>96</v>
      </c>
    </row>
    <row r="38">
      <c r="A38" t="s" s="0">
        <v>109</v>
      </c>
      <c r="B38" t="s" s="0">
        <v>96</v>
      </c>
      <c r="C38" t="s" s="0">
        <v>96</v>
      </c>
    </row>
    <row r="39">
      <c r="A39" t="s" s="0">
        <v>110</v>
      </c>
      <c r="B39" t="s" s="0">
        <v>96</v>
      </c>
      <c r="C39" t="s" s="0">
        <v>96</v>
      </c>
    </row>
    <row r="40">
      <c r="A40" t="s" s="0">
        <v>107</v>
      </c>
      <c r="B40" t="s" s="0">
        <v>96</v>
      </c>
      <c r="C40" t="s" s="0">
        <v>96</v>
      </c>
    </row>
    <row r="41">
      <c r="A41" t="s" s="0">
        <v>111</v>
      </c>
      <c r="B41" t="s" s="0">
        <v>96</v>
      </c>
      <c r="C41" t="s" s="0">
        <v>96</v>
      </c>
    </row>
    <row r="42">
      <c r="A42" t="s" s="0">
        <v>101</v>
      </c>
      <c r="B42" t="s" s="0">
        <v>102</v>
      </c>
      <c r="C42" t="s" s="0">
        <v>103</v>
      </c>
    </row>
    <row r="43">
      <c r="A43" t="s" s="0">
        <v>104</v>
      </c>
      <c r="B43" t="s" s="0">
        <v>105</v>
      </c>
      <c r="C43" t="s" s="0">
        <v>106</v>
      </c>
    </row>
    <row r="44">
      <c r="A44" t="s" s="0">
        <v>107</v>
      </c>
      <c r="B44" t="s" s="0">
        <v>96</v>
      </c>
      <c r="C44" t="s" s="0">
        <v>96</v>
      </c>
    </row>
    <row r="45">
      <c r="A45" t="s" s="0">
        <v>108</v>
      </c>
      <c r="B45" t="s" s="0">
        <v>96</v>
      </c>
      <c r="C45" t="s" s="0">
        <v>96</v>
      </c>
    </row>
    <row r="46">
      <c r="A46" t="s" s="0">
        <v>109</v>
      </c>
      <c r="B46" t="s" s="0">
        <v>96</v>
      </c>
      <c r="C46" t="s" s="0">
        <v>96</v>
      </c>
    </row>
    <row r="47">
      <c r="A47" t="s" s="0">
        <v>110</v>
      </c>
      <c r="B47" t="s" s="0">
        <v>96</v>
      </c>
      <c r="C47" t="s" s="0">
        <v>96</v>
      </c>
    </row>
    <row r="48">
      <c r="A48" t="s" s="0">
        <v>107</v>
      </c>
      <c r="B48" t="s" s="0">
        <v>96</v>
      </c>
      <c r="C48" t="s" s="0">
        <v>96</v>
      </c>
    </row>
    <row r="49">
      <c r="A49" t="s" s="0">
        <v>111</v>
      </c>
      <c r="B49" t="s" s="0">
        <v>96</v>
      </c>
      <c r="C49" t="s" s="0">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2026-10-20T18:17:47Z</dcterms:created>
  <dc:creator>Apache POI</dc:creator>
</cp:coreProperties>
</file>