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Calendário" sheetId="2" state="visible" r:id="rId2"/>
    <sheet xmlns:r="http://schemas.openxmlformats.org/officeDocument/2006/relationships" name="SKUs" sheetId="3" state="visible" r:id="rId3"/>
    <sheet xmlns:r="http://schemas.openxmlformats.org/officeDocument/2006/relationships" name="Agenda" sheetId="4" state="visible" r:id="rId4"/>
  </sheets>
  <definedNames>
    <definedName name="_xlnm._FilterDatabase" localSheetId="2" hidden="1">'SKUs'!$A$1:$H$34</definedName>
    <definedName name="_xlnm._FilterDatabase" localSheetId="3" hidden="1">'Agenda'!$A$1:$N$133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6" fontId="0" fillId="0" borderId="1" pivotButton="0" quotePrefix="0" xfId="0"/>
    <xf numFmtId="9" fontId="0" fillId="0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Plano Black Winnet 2026 — Casas Bahia e MadeiraMadeira</t>
        </is>
      </c>
    </row>
    <row r="2">
      <c r="A2" s="2" t="inlineStr">
        <is>
          <t>Fonte do plano: PDF do marketing 'Liberação das promoções – Black Winnet 2026 – Marketplaces' (01 a 30/11/2026).</t>
        </is>
      </c>
    </row>
    <row r="3">
      <c r="A3" s="2" t="inlineStr">
        <is>
          <t>Escopo: Casas Bahia (loja Bling 204709402) e MadeiraMadeira (loja Bling 204859112). Amazon e Mercado Livre ficam fora; site próprio segue outra estratégia.</t>
        </is>
      </c>
    </row>
    <row r="4">
      <c r="A4" s="2" t="inlineStr"/>
    </row>
    <row r="5">
      <c r="A5" s="3" t="inlineStr">
        <is>
          <t>COMO USAR</t>
        </is>
      </c>
    </row>
    <row r="6">
      <c r="A6" s="2" t="inlineStr">
        <is>
          <t>1. Aba SKUs: preencha as colunas amarelas com o preço ATUAL de cada canal (o preço que o cliente vê hoje). Deixe em branco se o SKU não estiver anunciado no canal.</t>
        </is>
      </c>
    </row>
    <row r="7">
      <c r="A7" s="2" t="inlineStr">
        <is>
          <t>2. Aba Agenda: o preço promocional é calculado sozinho (preço atual × (1 − desconto)), arredondado para centavos. Uma linha = um agendamento por SKU e janela.</t>
        </is>
      </c>
    </row>
    <row r="8">
      <c r="A8" s="2" t="inlineStr">
        <is>
          <t>3. Ao lançar no painel (ou no Bling), marque 'SIM' em Lançado. No dia de início, confira o anúncio e marque 'SIM' em Conferido.</t>
        </is>
      </c>
    </row>
    <row r="9">
      <c r="A9" s="2" t="inlineStr">
        <is>
          <t>4. Sempre lance com data/hora de início e FIM — o desconto precisa desligar sozinho (regra do marketing).</t>
        </is>
      </c>
    </row>
    <row r="10">
      <c r="A10" s="2" t="inlineStr"/>
    </row>
    <row r="11">
      <c r="A11" s="3" t="inlineStr">
        <is>
          <t>ATENÇÃO</t>
        </is>
      </c>
    </row>
    <row r="12">
      <c r="A12" s="2" t="inlineStr">
        <is>
          <t>• O preço base do Bling NÃO é o preço praticado nos canais (ex.: P4070 base R$ 968,18 × vendido R$ 687,82 na Casas Bahia). Use sempre o preço atual do canal.</t>
        </is>
      </c>
    </row>
    <row r="13">
      <c r="A13" s="2" t="inlineStr">
        <is>
          <t>• Se o preço do canal vem do Bling (vínculo multiloja), a promoção tem de ser lançada no Bling; mudar só no painel do canal será sobrescrito na próxima sincronização.</t>
        </is>
      </c>
    </row>
    <row r="14">
      <c r="A14" s="2" t="inlineStr">
        <is>
          <t>• Não subir o preço antes de 01/11 — o canal compara com o histórico e o desconto pode ser recusado ou configurar propaganda enganosa.</t>
        </is>
      </c>
    </row>
    <row r="15">
      <c r="A15" s="2" t="inlineStr">
        <is>
          <t>• Margem fora da Amazon não está na Planilha Mestra (ela simula só a tarifa Amazon). Os % do plano não foram validados contra a comissão de cada canal.</t>
        </is>
      </c>
    </row>
    <row r="16">
      <c r="A16" s="2" t="inlineStr">
        <is>
          <t>• Códigos usados aqui são os do Bling. Divergências do PDF: AML-2440/2460/3060 = L2440/L2460/L3060-AML; L3060-BQ = Q3060-B; PQ3060 = PQ-3060; SP - F/SP - T = SP-F/SP-T; Embutir = EMB-03, EMB-05, EMB-08.</t>
        </is>
      </c>
    </row>
    <row r="17">
      <c r="A17" s="2" t="inlineStr">
        <is>
          <t>• PXM: o PDF diz 'Porta extintor médio'; no Bling o nome é 'Porta Extintor Grande'. Confirmar que é o mesmo item.</t>
        </is>
      </c>
    </row>
    <row r="18">
      <c r="A18" s="2" t="inlineStr">
        <is>
          <t>• Preços base do Bling lidos em 20/10/2026, só como referência.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Grupo</t>
        </is>
      </c>
      <c r="B1" s="4" t="inlineStr">
        <is>
          <t>01–08/11</t>
        </is>
      </c>
      <c r="C1" s="4" t="inlineStr">
        <is>
          <t>09–15/11</t>
        </is>
      </c>
      <c r="D1" s="4" t="inlineStr">
        <is>
          <t>16–22/11</t>
        </is>
      </c>
      <c r="E1" s="4" t="inlineStr">
        <is>
          <t>23–26/11</t>
        </is>
      </c>
      <c r="F1" s="4" t="inlineStr">
        <is>
          <t>27/11</t>
        </is>
      </c>
      <c r="G1" s="4" t="inlineStr">
        <is>
          <t>28–30/11</t>
        </is>
      </c>
      <c r="H1" s="4" t="inlineStr">
        <is>
          <t>Nº SKUs</t>
        </is>
      </c>
    </row>
    <row r="2">
      <c r="A2" s="5" t="inlineStr">
        <is>
          <t>Curva C</t>
        </is>
      </c>
      <c r="B2" s="5" t="inlineStr">
        <is>
          <t>4%</t>
        </is>
      </c>
      <c r="C2" s="5" t="inlineStr">
        <is>
          <t>—</t>
        </is>
      </c>
      <c r="D2" s="5" t="inlineStr">
        <is>
          <t>—</t>
        </is>
      </c>
      <c r="E2" s="5" t="inlineStr">
        <is>
          <t>7%</t>
        </is>
      </c>
      <c r="F2" s="5" t="inlineStr">
        <is>
          <t>10%</t>
        </is>
      </c>
      <c r="G2" s="5" t="inlineStr">
        <is>
          <t>7%</t>
        </is>
      </c>
      <c r="H2" s="5" t="n">
        <v>4</v>
      </c>
    </row>
    <row r="3">
      <c r="A3" s="5" t="inlineStr">
        <is>
          <t>Curva B</t>
        </is>
      </c>
      <c r="B3" s="5" t="inlineStr">
        <is>
          <t>—</t>
        </is>
      </c>
      <c r="C3" s="5" t="inlineStr">
        <is>
          <t>4%</t>
        </is>
      </c>
      <c r="D3" s="5" t="inlineStr">
        <is>
          <t>—</t>
        </is>
      </c>
      <c r="E3" s="5" t="inlineStr">
        <is>
          <t>6%</t>
        </is>
      </c>
      <c r="F3" s="5" t="inlineStr">
        <is>
          <t>8%</t>
        </is>
      </c>
      <c r="G3" s="5" t="inlineStr">
        <is>
          <t>6%</t>
        </is>
      </c>
      <c r="H3" s="5" t="n">
        <v>13</v>
      </c>
    </row>
    <row r="4">
      <c r="A4" s="5" t="inlineStr">
        <is>
          <t>Curva A</t>
        </is>
      </c>
      <c r="B4" s="5" t="inlineStr">
        <is>
          <t>—</t>
        </is>
      </c>
      <c r="C4" s="5" t="inlineStr">
        <is>
          <t>—</t>
        </is>
      </c>
      <c r="D4" s="5" t="inlineStr">
        <is>
          <t>2%</t>
        </is>
      </c>
      <c r="E4" s="5" t="inlineStr">
        <is>
          <t>3%</t>
        </is>
      </c>
      <c r="F4" s="5" t="inlineStr">
        <is>
          <t>5%</t>
        </is>
      </c>
      <c r="G4" s="5" t="inlineStr">
        <is>
          <t>3%</t>
        </is>
      </c>
      <c r="H4" s="5" t="n">
        <v>13</v>
      </c>
    </row>
    <row r="5">
      <c r="A5" s="5" t="inlineStr">
        <is>
          <t>Lixeira Embutir</t>
        </is>
      </c>
      <c r="B5" s="5" t="inlineStr">
        <is>
          <t>8%</t>
        </is>
      </c>
      <c r="C5" s="5" t="inlineStr">
        <is>
          <t>8%</t>
        </is>
      </c>
      <c r="D5" s="5" t="inlineStr">
        <is>
          <t>8%</t>
        </is>
      </c>
      <c r="E5" s="5" t="inlineStr">
        <is>
          <t>10%</t>
        </is>
      </c>
      <c r="F5" s="5" t="inlineStr">
        <is>
          <t>15%</t>
        </is>
      </c>
      <c r="G5" s="5" t="inlineStr">
        <is>
          <t>10%</t>
        </is>
      </c>
      <c r="H5" s="5" t="n">
        <v>3</v>
      </c>
    </row>
    <row r="7">
      <c r="A7" s="6" t="inlineStr">
        <is>
          <t>Embutir: os 8% de 01 a 22/11 podem ser um único agendamento contínuo. Curva C volta ao preço cheio entre 09 e 22/11.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16" customWidth="1" min="3" max="3"/>
    <col width="9" customWidth="1" min="4" max="4"/>
    <col width="15" customWidth="1" min="5" max="5"/>
    <col width="18" customWidth="1" min="6" max="6"/>
    <col width="20" customWidth="1" min="7" max="7"/>
    <col width="40" customWidth="1" min="8" max="8"/>
  </cols>
  <sheetData>
    <row r="1" ht="32" customHeight="1">
      <c r="A1" s="7" t="inlineStr">
        <is>
          <t>SKU (Bling)</t>
        </is>
      </c>
      <c r="B1" s="7" t="inlineStr">
        <is>
          <t>Produto (nome no Bling)</t>
        </is>
      </c>
      <c r="C1" s="7" t="inlineStr">
        <is>
          <t>Código no PDF</t>
        </is>
      </c>
      <c r="D1" s="7" t="inlineStr">
        <is>
          <t>Curva</t>
        </is>
      </c>
      <c r="E1" s="7" t="inlineStr">
        <is>
          <t>Preço base Bling (ref.)</t>
        </is>
      </c>
      <c r="F1" s="7" t="inlineStr">
        <is>
          <t>Preço atual Casas Bahia</t>
        </is>
      </c>
      <c r="G1" s="7" t="inlineStr">
        <is>
          <t>Preço atual MadeiraMadeira</t>
        </is>
      </c>
      <c r="H1" s="7" t="inlineStr">
        <is>
          <t>Observação</t>
        </is>
      </c>
    </row>
    <row r="2">
      <c r="A2" s="8" t="inlineStr">
        <is>
          <t>PL-SD</t>
        </is>
      </c>
      <c r="B2" s="8" t="inlineStr">
        <is>
          <t>Placa Sinalizadora em Aço inox 'Piso Molhado'</t>
        </is>
      </c>
      <c r="C2" s="8" t="inlineStr">
        <is>
          <t>PL-SD</t>
        </is>
      </c>
      <c r="D2" s="8" t="inlineStr">
        <is>
          <t>C</t>
        </is>
      </c>
      <c r="E2" s="9" t="n">
        <v>450.69</v>
      </c>
      <c r="F2" s="10" t="n"/>
      <c r="G2" s="10" t="n"/>
      <c r="H2" s="8" t="inlineStr"/>
    </row>
    <row r="3">
      <c r="A3" s="8" t="inlineStr">
        <is>
          <t>PQ-4070</t>
        </is>
      </c>
      <c r="B3" s="8" t="inlineStr">
        <is>
          <t>Lixeira Quadrada Pedal 100L de Aço Inox</t>
        </is>
      </c>
      <c r="C3" s="8" t="inlineStr">
        <is>
          <t>PQ-4070</t>
        </is>
      </c>
      <c r="D3" s="8" t="inlineStr">
        <is>
          <t>C</t>
        </is>
      </c>
      <c r="E3" s="9" t="n">
        <v>1569.24</v>
      </c>
      <c r="F3" s="10" t="n"/>
      <c r="G3" s="10" t="n"/>
      <c r="H3" s="8" t="inlineStr"/>
    </row>
    <row r="4">
      <c r="A4" s="8" t="inlineStr">
        <is>
          <t>L4070-B</t>
        </is>
      </c>
      <c r="B4" s="8" t="inlineStr">
        <is>
          <t>Lixeira em Aço Inox 88L Basculante Redonda</t>
        </is>
      </c>
      <c r="C4" s="8" t="inlineStr">
        <is>
          <t>L4070-B</t>
        </is>
      </c>
      <c r="D4" s="8" t="inlineStr">
        <is>
          <t>C</t>
        </is>
      </c>
      <c r="E4" s="9" t="n">
        <v>766.5</v>
      </c>
      <c r="F4" s="10" t="n"/>
      <c r="G4" s="10" t="n"/>
      <c r="H4" s="8" t="inlineStr"/>
    </row>
    <row r="5">
      <c r="A5" s="8" t="inlineStr">
        <is>
          <t>L3060-CP</t>
        </is>
      </c>
      <c r="B5" s="8" t="inlineStr">
        <is>
          <t>Lixeira Coletor de pilhas e baterias 40L</t>
        </is>
      </c>
      <c r="C5" s="8" t="inlineStr">
        <is>
          <t>L3060-CP</t>
        </is>
      </c>
      <c r="D5" s="8" t="inlineStr">
        <is>
          <t>C</t>
        </is>
      </c>
      <c r="E5" s="9" t="n">
        <v>369.64</v>
      </c>
      <c r="F5" s="10" t="n"/>
      <c r="G5" s="10" t="n"/>
      <c r="H5" s="8" t="inlineStr"/>
    </row>
    <row r="6">
      <c r="A6" s="8" t="inlineStr">
        <is>
          <t>P3060RA</t>
        </is>
      </c>
      <c r="B6" s="8" t="inlineStr">
        <is>
          <t>Lixeira em Aço Inox 50L Pedal, Rodízio e Alça</t>
        </is>
      </c>
      <c r="C6" s="8" t="inlineStr">
        <is>
          <t>P3060RA</t>
        </is>
      </c>
      <c r="D6" s="8" t="inlineStr">
        <is>
          <t>B</t>
        </is>
      </c>
      <c r="E6" s="9" t="n">
        <v>810.9299999999999</v>
      </c>
      <c r="F6" s="10" t="n"/>
      <c r="G6" s="10" t="n"/>
      <c r="H6" s="8" t="inlineStr"/>
    </row>
    <row r="7">
      <c r="A7" s="8" t="inlineStr">
        <is>
          <t>P4080RA</t>
        </is>
      </c>
      <c r="B7" s="8" t="inlineStr">
        <is>
          <t>Lixeira Pedal, Rodízio e Alça 100L de Aço Inox</t>
        </is>
      </c>
      <c r="C7" s="8" t="inlineStr">
        <is>
          <t>P4080RA</t>
        </is>
      </c>
      <c r="D7" s="8" t="inlineStr">
        <is>
          <t>B</t>
        </is>
      </c>
      <c r="E7" s="9" t="n">
        <v>1603.79</v>
      </c>
      <c r="F7" s="10" t="n"/>
      <c r="G7" s="10" t="n"/>
      <c r="H7" s="8" t="inlineStr"/>
    </row>
    <row r="8">
      <c r="A8" s="8" t="inlineStr">
        <is>
          <t>EGC</t>
        </is>
      </c>
      <c r="B8" s="8" t="inlineStr">
        <is>
          <t>Embalador de guarda-chuvas com 150 saquinhos</t>
        </is>
      </c>
      <c r="C8" s="8" t="inlineStr">
        <is>
          <t>EGC</t>
        </is>
      </c>
      <c r="D8" s="8" t="inlineStr">
        <is>
          <t>B</t>
        </is>
      </c>
      <c r="E8" s="9" t="n">
        <v>630.5700000000001</v>
      </c>
      <c r="F8" s="10" t="n"/>
      <c r="G8" s="10" t="n"/>
      <c r="H8" s="8" t="inlineStr"/>
    </row>
    <row r="9">
      <c r="A9" s="8" t="inlineStr">
        <is>
          <t>P4070</t>
        </is>
      </c>
      <c r="B9" s="8" t="inlineStr">
        <is>
          <t>Lixeira em Aço Inox 80L Pedal Redonda</t>
        </is>
      </c>
      <c r="C9" s="8" t="inlineStr">
        <is>
          <t>P4070</t>
        </is>
      </c>
      <c r="D9" s="8" t="inlineStr">
        <is>
          <t>B</t>
        </is>
      </c>
      <c r="E9" s="9" t="n">
        <v>968.1799999999999</v>
      </c>
      <c r="F9" s="10" t="n"/>
      <c r="G9" s="10" t="n"/>
      <c r="H9" s="8" t="inlineStr"/>
    </row>
    <row r="10">
      <c r="A10" s="8" t="inlineStr">
        <is>
          <t>L2440-B</t>
        </is>
      </c>
      <c r="B10" s="8" t="inlineStr">
        <is>
          <t>Lixeira em Aço Inox 20L Basculante Redonda</t>
        </is>
      </c>
      <c r="C10" s="8" t="inlineStr">
        <is>
          <t>L2440-B</t>
        </is>
      </c>
      <c r="D10" s="8" t="inlineStr">
        <is>
          <t>B</t>
        </is>
      </c>
      <c r="E10" s="9" t="n">
        <v>260.29</v>
      </c>
      <c r="F10" s="10" t="n"/>
      <c r="G10" s="10" t="n"/>
      <c r="H10" s="8" t="inlineStr"/>
    </row>
    <row r="11">
      <c r="A11" s="8" t="inlineStr">
        <is>
          <t>L2430-B</t>
        </is>
      </c>
      <c r="B11" s="8" t="inlineStr">
        <is>
          <t>Lixeira em Aço Inox 15L Basculante Redonda</t>
        </is>
      </c>
      <c r="C11" s="8" t="inlineStr">
        <is>
          <t>L2430-B</t>
        </is>
      </c>
      <c r="D11" s="8" t="inlineStr">
        <is>
          <t>B</t>
        </is>
      </c>
      <c r="E11" s="9" t="n">
        <v>199.46</v>
      </c>
      <c r="F11" s="10" t="n"/>
      <c r="G11" s="10" t="n"/>
      <c r="H11" s="8" t="inlineStr"/>
    </row>
    <row r="12">
      <c r="A12" s="8" t="inlineStr">
        <is>
          <t>L2430-A</t>
        </is>
      </c>
      <c r="B12" s="8" t="inlineStr">
        <is>
          <t>Lixeira em Aço Inox 15L Aro Redonda</t>
        </is>
      </c>
      <c r="C12" s="8" t="inlineStr">
        <is>
          <t>L2430-A</t>
        </is>
      </c>
      <c r="D12" s="8" t="inlineStr">
        <is>
          <t>B</t>
        </is>
      </c>
      <c r="E12" s="9" t="n">
        <v>163.71</v>
      </c>
      <c r="F12" s="10" t="n"/>
      <c r="G12" s="10" t="n"/>
      <c r="H12" s="8" t="inlineStr"/>
    </row>
    <row r="13">
      <c r="A13" s="8" t="inlineStr">
        <is>
          <t>L2450-A</t>
        </is>
      </c>
      <c r="B13" s="8" t="inlineStr">
        <is>
          <t>Lixeira em Aço inox 25L Aro Redonda</t>
        </is>
      </c>
      <c r="C13" s="8" t="inlineStr">
        <is>
          <t>L2450-A</t>
        </is>
      </c>
      <c r="D13" s="8" t="inlineStr">
        <is>
          <t>B</t>
        </is>
      </c>
      <c r="E13" s="9" t="n">
        <v>233.84</v>
      </c>
      <c r="F13" s="10" t="n"/>
      <c r="G13" s="10" t="n"/>
      <c r="H13" s="8" t="inlineStr"/>
    </row>
    <row r="14">
      <c r="A14" s="8" t="inlineStr">
        <is>
          <t>P2025</t>
        </is>
      </c>
      <c r="B14" s="8" t="inlineStr">
        <is>
          <t>Lixeira em Aço Inox 07L Pedal Redonda</t>
        </is>
      </c>
      <c r="C14" s="8" t="inlineStr">
        <is>
          <t>P2025</t>
        </is>
      </c>
      <c r="D14" s="8" t="inlineStr">
        <is>
          <t>B</t>
        </is>
      </c>
      <c r="E14" s="9" t="n">
        <v>194.2</v>
      </c>
      <c r="F14" s="10" t="n"/>
      <c r="G14" s="10" t="n"/>
      <c r="H14" s="8" t="inlineStr"/>
    </row>
    <row r="15">
      <c r="A15" s="8" t="inlineStr">
        <is>
          <t>SP-F</t>
        </is>
      </c>
      <c r="B15" s="8" t="inlineStr">
        <is>
          <t>Bituqueira de Cigarro Space Fixa</t>
        </is>
      </c>
      <c r="C15" s="8" t="inlineStr">
        <is>
          <t>SP - F</t>
        </is>
      </c>
      <c r="D15" s="8" t="inlineStr">
        <is>
          <t>B</t>
        </is>
      </c>
      <c r="E15" s="9" t="n">
        <v>430.23</v>
      </c>
      <c r="F15" s="10" t="n"/>
      <c r="G15" s="10" t="n"/>
      <c r="H15" s="8" t="inlineStr">
        <is>
          <t>PDF usa 'SP - F'</t>
        </is>
      </c>
    </row>
    <row r="16">
      <c r="A16" s="8" t="inlineStr">
        <is>
          <t>SP-T</t>
        </is>
      </c>
      <c r="B16" s="8" t="inlineStr">
        <is>
          <t>Bituqueira de Cigarros Space Torre</t>
        </is>
      </c>
      <c r="C16" s="8" t="inlineStr">
        <is>
          <t>SP - T</t>
        </is>
      </c>
      <c r="D16" s="8" t="inlineStr">
        <is>
          <t>B</t>
        </is>
      </c>
      <c r="E16" s="9" t="n">
        <v>442.17</v>
      </c>
      <c r="F16" s="10" t="n"/>
      <c r="G16" s="10" t="n"/>
      <c r="H16" s="8" t="inlineStr">
        <is>
          <t>PDF usa 'SP - T'</t>
        </is>
      </c>
    </row>
    <row r="17">
      <c r="A17" s="8" t="inlineStr">
        <is>
          <t>PG3070</t>
        </is>
      </c>
      <c r="B17" s="8" t="inlineStr">
        <is>
          <t>Porta guarda chuva 30x70</t>
        </is>
      </c>
      <c r="C17" s="8" t="inlineStr">
        <is>
          <t>PG3070</t>
        </is>
      </c>
      <c r="D17" s="8" t="inlineStr">
        <is>
          <t>B</t>
        </is>
      </c>
      <c r="E17" s="9" t="n">
        <v>350.96</v>
      </c>
      <c r="F17" s="10" t="n"/>
      <c r="G17" s="10" t="n"/>
      <c r="H17" s="8" t="inlineStr"/>
    </row>
    <row r="18">
      <c r="A18" s="8" t="inlineStr">
        <is>
          <t>PQ-3060</t>
        </is>
      </c>
      <c r="B18" s="8" t="inlineStr">
        <is>
          <t>Lixeira Quadrada Pedal 50L de Aço Inox</t>
        </is>
      </c>
      <c r="C18" s="8" t="inlineStr">
        <is>
          <t>PQ3060</t>
        </is>
      </c>
      <c r="D18" s="8" t="inlineStr">
        <is>
          <t>B</t>
        </is>
      </c>
      <c r="E18" s="9" t="n">
        <v>700</v>
      </c>
      <c r="F18" s="10" t="n"/>
      <c r="G18" s="10" t="n"/>
      <c r="H18" s="8" t="inlineStr">
        <is>
          <t>PDF usa 'PQ3060'</t>
        </is>
      </c>
    </row>
    <row r="19">
      <c r="A19" s="8" t="inlineStr">
        <is>
          <t>PXP</t>
        </is>
      </c>
      <c r="B19" s="8" t="inlineStr">
        <is>
          <t>Suporte Porta Extintor Pequeno de Aço Inox</t>
        </is>
      </c>
      <c r="C19" s="8" t="inlineStr">
        <is>
          <t>PXP</t>
        </is>
      </c>
      <c r="D19" s="8" t="inlineStr">
        <is>
          <t>A</t>
        </is>
      </c>
      <c r="E19" s="9" t="n">
        <v>171.93</v>
      </c>
      <c r="F19" s="10" t="n"/>
      <c r="G19" s="10" t="n"/>
      <c r="H19" s="8" t="inlineStr"/>
    </row>
    <row r="20">
      <c r="A20" s="8" t="inlineStr">
        <is>
          <t>PXM</t>
        </is>
      </c>
      <c r="B20" s="8" t="inlineStr">
        <is>
          <t>Suporte Porta Extintor Grande de Aço Inox</t>
        </is>
      </c>
      <c r="C20" s="8" t="inlineStr">
        <is>
          <t>PXM</t>
        </is>
      </c>
      <c r="D20" s="8" t="inlineStr">
        <is>
          <t>A</t>
        </is>
      </c>
      <c r="E20" s="9" t="n">
        <v>193.98</v>
      </c>
      <c r="F20" s="10" t="n"/>
      <c r="G20" s="10" t="n"/>
      <c r="H20" s="8" t="inlineStr">
        <is>
          <t>PDF: 'médio'; Bling: 'Grande' — confirmar</t>
        </is>
      </c>
    </row>
    <row r="21">
      <c r="A21" s="8" t="inlineStr">
        <is>
          <t>SP-01</t>
        </is>
      </c>
      <c r="B21" s="8" t="inlineStr">
        <is>
          <t>Bituqueira de Cigarro Space</t>
        </is>
      </c>
      <c r="C21" s="8" t="inlineStr">
        <is>
          <t>SP-01</t>
        </is>
      </c>
      <c r="D21" s="8" t="inlineStr">
        <is>
          <t>A</t>
        </is>
      </c>
      <c r="E21" s="9" t="n">
        <v>472.68</v>
      </c>
      <c r="F21" s="10" t="n"/>
      <c r="G21" s="10" t="n"/>
      <c r="H21" s="8" t="inlineStr"/>
    </row>
    <row r="22">
      <c r="A22" s="8" t="inlineStr">
        <is>
          <t>P3060</t>
        </is>
      </c>
      <c r="B22" s="8" t="inlineStr">
        <is>
          <t>Lixeira em Aço Inox 50L Pedal Redonda</t>
        </is>
      </c>
      <c r="C22" s="8" t="inlineStr">
        <is>
          <t>P3060</t>
        </is>
      </c>
      <c r="D22" s="8" t="inlineStr">
        <is>
          <t>A</t>
        </is>
      </c>
      <c r="E22" s="9" t="n">
        <v>520.3099999999999</v>
      </c>
      <c r="F22" s="10" t="n"/>
      <c r="G22" s="10" t="n"/>
      <c r="H22" s="8" t="inlineStr"/>
    </row>
    <row r="23">
      <c r="A23" s="8" t="inlineStr">
        <is>
          <t>P4080</t>
        </is>
      </c>
      <c r="B23" s="8" t="inlineStr">
        <is>
          <t>Lixeira em Aço Inox 100L Pedal Redonda</t>
        </is>
      </c>
      <c r="C23" s="8" t="inlineStr">
        <is>
          <t>P4080</t>
        </is>
      </c>
      <c r="D23" s="8" t="inlineStr">
        <is>
          <t>A</t>
        </is>
      </c>
      <c r="E23" s="9" t="n">
        <v>1180.54</v>
      </c>
      <c r="F23" s="10" t="n"/>
      <c r="G23" s="10" t="n"/>
      <c r="H23" s="8" t="inlineStr"/>
    </row>
    <row r="24">
      <c r="A24" s="8" t="inlineStr">
        <is>
          <t>P3070</t>
        </is>
      </c>
      <c r="B24" s="8" t="inlineStr">
        <is>
          <t>Lixeira em Aço Inox 60L Pedal Redonda</t>
        </is>
      </c>
      <c r="C24" s="8" t="inlineStr">
        <is>
          <t>P3070</t>
        </is>
      </c>
      <c r="D24" s="8" t="inlineStr">
        <is>
          <t>A</t>
        </is>
      </c>
      <c r="E24" s="9" t="n">
        <v>659.92</v>
      </c>
      <c r="F24" s="10" t="n"/>
      <c r="G24" s="10" t="n"/>
      <c r="H24" s="8" t="inlineStr"/>
    </row>
    <row r="25">
      <c r="A25" s="8" t="inlineStr">
        <is>
          <t>P2440</t>
        </is>
      </c>
      <c r="B25" s="8" t="inlineStr">
        <is>
          <t>Lixeira em Aço Inox 20L Pedal Redonda</t>
        </is>
      </c>
      <c r="C25" s="8" t="inlineStr">
        <is>
          <t>P2440</t>
        </is>
      </c>
      <c r="D25" s="8" t="inlineStr">
        <is>
          <t>A</t>
        </is>
      </c>
      <c r="E25" s="9" t="n">
        <v>286.84</v>
      </c>
      <c r="F25" s="10" t="n"/>
      <c r="G25" s="10" t="n"/>
      <c r="H25" s="8" t="inlineStr"/>
    </row>
    <row r="26">
      <c r="A26" s="8" t="inlineStr">
        <is>
          <t>L2470-CZ</t>
        </is>
      </c>
      <c r="B26" s="8" t="inlineStr">
        <is>
          <t>Lixeira Cinzeiro 30L em Aço Inox</t>
        </is>
      </c>
      <c r="C26" s="8" t="inlineStr">
        <is>
          <t>L2470-CZ</t>
        </is>
      </c>
      <c r="D26" s="8" t="inlineStr">
        <is>
          <t>A</t>
        </is>
      </c>
      <c r="E26" s="9" t="n">
        <v>263.5</v>
      </c>
      <c r="F26" s="10" t="n"/>
      <c r="G26" s="10" t="n"/>
      <c r="H26" s="8" t="inlineStr"/>
    </row>
    <row r="27">
      <c r="A27" s="8" t="inlineStr">
        <is>
          <t>L2440-AML</t>
        </is>
      </c>
      <c r="B27" s="8" t="inlineStr">
        <is>
          <t>Lixeira de Inox 20L com Aro Meia Lua</t>
        </is>
      </c>
      <c r="C27" s="8" t="inlineStr">
        <is>
          <t>AML-2440</t>
        </is>
      </c>
      <c r="D27" s="8" t="inlineStr">
        <is>
          <t>A</t>
        </is>
      </c>
      <c r="E27" s="9" t="n">
        <v>200.9</v>
      </c>
      <c r="F27" s="10" t="n"/>
      <c r="G27" s="10" t="n"/>
      <c r="H27" s="8" t="inlineStr">
        <is>
          <t>PDF usa 'AML-2440'</t>
        </is>
      </c>
    </row>
    <row r="28">
      <c r="A28" s="8" t="inlineStr">
        <is>
          <t>L2460-AML</t>
        </is>
      </c>
      <c r="B28" s="8" t="inlineStr">
        <is>
          <t>Lixeira de Inox 27L com Aro Meia Lua</t>
        </is>
      </c>
      <c r="C28" s="8" t="inlineStr">
        <is>
          <t>AML-2460</t>
        </is>
      </c>
      <c r="D28" s="8" t="inlineStr">
        <is>
          <t>A</t>
        </is>
      </c>
      <c r="E28" s="9" t="n">
        <v>260.98</v>
      </c>
      <c r="F28" s="10" t="n"/>
      <c r="G28" s="10" t="n"/>
      <c r="H28" s="8" t="inlineStr">
        <is>
          <t>PDF usa 'AML-2460'</t>
        </is>
      </c>
    </row>
    <row r="29">
      <c r="A29" s="8" t="inlineStr">
        <is>
          <t>L3060-AML</t>
        </is>
      </c>
      <c r="B29" s="8" t="inlineStr">
        <is>
          <t>Lixeira de Inox 40L com Aro Meia Lua</t>
        </is>
      </c>
      <c r="C29" s="8" t="inlineStr">
        <is>
          <t>AML-3060</t>
        </is>
      </c>
      <c r="D29" s="8" t="inlineStr">
        <is>
          <t>A</t>
        </is>
      </c>
      <c r="E29" s="9" t="n">
        <v>435.76</v>
      </c>
      <c r="F29" s="10" t="n"/>
      <c r="G29" s="10" t="n"/>
      <c r="H29" s="8" t="inlineStr">
        <is>
          <t>PDF usa 'AML-3060'</t>
        </is>
      </c>
    </row>
    <row r="30">
      <c r="A30" s="8" t="inlineStr">
        <is>
          <t>Q3060-B</t>
        </is>
      </c>
      <c r="B30" s="8" t="inlineStr">
        <is>
          <t>Lixeira em Aço Inox 50L Basculante Quadrada</t>
        </is>
      </c>
      <c r="C30" s="8" t="inlineStr">
        <is>
          <t>L3060-BQ</t>
        </is>
      </c>
      <c r="D30" s="8" t="inlineStr">
        <is>
          <t>A</t>
        </is>
      </c>
      <c r="E30" s="9" t="n">
        <v>559.8099999999999</v>
      </c>
      <c r="F30" s="10" t="n"/>
      <c r="G30" s="10" t="n"/>
      <c r="H30" s="8" t="inlineStr">
        <is>
          <t>PDF usa 'L3060-BQ'</t>
        </is>
      </c>
    </row>
    <row r="31">
      <c r="A31" s="8" t="inlineStr">
        <is>
          <t>L2025-T</t>
        </is>
      </c>
      <c r="B31" s="8" t="inlineStr">
        <is>
          <t>Lixeira em Aço Inox 07L com Tampa</t>
        </is>
      </c>
      <c r="C31" s="8" t="inlineStr">
        <is>
          <t>L2025-T</t>
        </is>
      </c>
      <c r="D31" s="8" t="inlineStr">
        <is>
          <t>A</t>
        </is>
      </c>
      <c r="E31" s="9" t="n">
        <v>132.78</v>
      </c>
      <c r="F31" s="10" t="n"/>
      <c r="G31" s="10" t="n"/>
      <c r="H31" s="8" t="inlineStr"/>
    </row>
    <row r="32">
      <c r="A32" s="8" t="inlineStr">
        <is>
          <t>EMB-03</t>
        </is>
      </c>
      <c r="B32" s="8" t="inlineStr">
        <is>
          <t>Lixeira Embutir 03L de Pia em Aço Inox</t>
        </is>
      </c>
      <c r="C32" s="8" t="inlineStr">
        <is>
          <t>Lixeira Embutir</t>
        </is>
      </c>
      <c r="D32" s="8" t="inlineStr">
        <is>
          <t>Queima</t>
        </is>
      </c>
      <c r="E32" s="9" t="n">
        <v>192.84</v>
      </c>
      <c r="F32" s="10" t="n"/>
      <c r="G32" s="10" t="n"/>
      <c r="H32" s="8" t="inlineStr"/>
    </row>
    <row r="33">
      <c r="A33" s="8" t="inlineStr">
        <is>
          <t>EMB-05</t>
        </is>
      </c>
      <c r="B33" s="8" t="inlineStr">
        <is>
          <t>Lixeira de Embutir Pia 05L em Aço inox</t>
        </is>
      </c>
      <c r="C33" s="8" t="inlineStr">
        <is>
          <t>Lixeira Embutir</t>
        </is>
      </c>
      <c r="D33" s="8" t="inlineStr">
        <is>
          <t>Queima</t>
        </is>
      </c>
      <c r="E33" s="9" t="n">
        <v>278.47</v>
      </c>
      <c r="F33" s="10" t="n"/>
      <c r="G33" s="10" t="n"/>
      <c r="H33" s="8" t="inlineStr"/>
    </row>
    <row r="34">
      <c r="A34" s="8" t="inlineStr">
        <is>
          <t>EMB-08</t>
        </is>
      </c>
      <c r="B34" s="8" t="inlineStr">
        <is>
          <t>Lixeira Embutir 08L de Pia em Aço Inox</t>
        </is>
      </c>
      <c r="C34" s="8" t="inlineStr">
        <is>
          <t>Lixeira Embutir</t>
        </is>
      </c>
      <c r="D34" s="8" t="inlineStr">
        <is>
          <t>Queima</t>
        </is>
      </c>
      <c r="E34" s="9" t="n">
        <v>360.12</v>
      </c>
      <c r="F34" s="10" t="n"/>
      <c r="G34" s="10" t="n"/>
      <c r="H34" s="8" t="inlineStr"/>
    </row>
  </sheetData>
  <autoFilter ref="A1:H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3" customWidth="1" min="4" max="4"/>
    <col width="9" customWidth="1" min="5" max="5"/>
    <col width="10" customWidth="1" min="6" max="6"/>
    <col width="15" customWidth="1" min="7" max="7"/>
    <col width="15" customWidth="1" min="8" max="8"/>
    <col width="11" customWidth="1" min="9" max="9"/>
    <col width="12" customWidth="1" min="10" max="10"/>
    <col width="15" customWidth="1" min="11" max="11"/>
    <col width="15" customWidth="1" min="12" max="12"/>
    <col width="11" customWidth="1" min="13" max="13"/>
    <col width="12" customWidth="1" min="14" max="14"/>
  </cols>
  <sheetData>
    <row r="1" ht="32" customHeight="1">
      <c r="A1" s="7" t="inlineStr">
        <is>
          <t>Janela</t>
        </is>
      </c>
      <c r="B1" s="7" t="inlineStr">
        <is>
          <t>Início</t>
        </is>
      </c>
      <c r="C1" s="7" t="inlineStr">
        <is>
          <t>Fim</t>
        </is>
      </c>
      <c r="D1" s="7" t="inlineStr">
        <is>
          <t>SKU (Bling)</t>
        </is>
      </c>
      <c r="E1" s="7" t="inlineStr">
        <is>
          <t>Curva</t>
        </is>
      </c>
      <c r="F1" s="7" t="inlineStr">
        <is>
          <t>Desconto</t>
        </is>
      </c>
      <c r="G1" s="7" t="inlineStr">
        <is>
          <t>Preço atual CB</t>
        </is>
      </c>
      <c r="H1" s="7" t="inlineStr">
        <is>
          <t>Preço promo CB</t>
        </is>
      </c>
      <c r="I1" s="7" t="inlineStr">
        <is>
          <t>Lançado CB</t>
        </is>
      </c>
      <c r="J1" s="7" t="inlineStr">
        <is>
          <t>Conferido CB</t>
        </is>
      </c>
      <c r="K1" s="7" t="inlineStr">
        <is>
          <t>Preço atual MM</t>
        </is>
      </c>
      <c r="L1" s="7" t="inlineStr">
        <is>
          <t>Preço promo MM</t>
        </is>
      </c>
      <c r="M1" s="7" t="inlineStr">
        <is>
          <t>Lançado MM</t>
        </is>
      </c>
      <c r="N1" s="7" t="inlineStr">
        <is>
          <t>Conferido MM</t>
        </is>
      </c>
    </row>
    <row r="2">
      <c r="A2" s="8" t="inlineStr">
        <is>
          <t>Semana 1</t>
        </is>
      </c>
      <c r="B2" s="11" t="n">
        <v>46327</v>
      </c>
      <c r="C2" s="11" t="n">
        <v>46334</v>
      </c>
      <c r="D2" s="8" t="inlineStr">
        <is>
          <t>PL-SD</t>
        </is>
      </c>
      <c r="E2" s="8" t="inlineStr">
        <is>
          <t>C</t>
        </is>
      </c>
      <c r="F2" s="12" t="n">
        <v>0.04</v>
      </c>
      <c r="G2" s="9">
        <f>IFERROR(IF(VLOOKUP(D2,SKUs!$A$2:$G$34,6,FALSE)="","",VLOOKUP(D2,SKUs!$A$2:$G$34,6,FALSE)),"")</f>
        <v/>
      </c>
      <c r="H2" s="9">
        <f>IF(G2="","",ROUND(G2*(1-F2),2))</f>
        <v/>
      </c>
      <c r="I2" s="13" t="n"/>
      <c r="J2" s="13" t="n"/>
      <c r="K2" s="9">
        <f>IFERROR(IF(VLOOKUP(D2,SKUs!$A$2:$G$34,7,FALSE)="","",VLOOKUP(D2,SKUs!$A$2:$G$34,7,FALSE)),"")</f>
        <v/>
      </c>
      <c r="L2" s="9">
        <f>IF(K2="","",ROUND(K2*(1-F2),2))</f>
        <v/>
      </c>
      <c r="M2" s="13" t="n"/>
      <c r="N2" s="13" t="n"/>
    </row>
    <row r="3">
      <c r="A3" s="8" t="inlineStr">
        <is>
          <t>Semana 1</t>
        </is>
      </c>
      <c r="B3" s="11" t="n">
        <v>46327</v>
      </c>
      <c r="C3" s="11" t="n">
        <v>46334</v>
      </c>
      <c r="D3" s="8" t="inlineStr">
        <is>
          <t>PQ-4070</t>
        </is>
      </c>
      <c r="E3" s="8" t="inlineStr">
        <is>
          <t>C</t>
        </is>
      </c>
      <c r="F3" s="12" t="n">
        <v>0.04</v>
      </c>
      <c r="G3" s="9">
        <f>IFERROR(IF(VLOOKUP(D3,SKUs!$A$2:$G$34,6,FALSE)="","",VLOOKUP(D3,SKUs!$A$2:$G$34,6,FALSE)),"")</f>
        <v/>
      </c>
      <c r="H3" s="9">
        <f>IF(G3="","",ROUND(G3*(1-F3),2))</f>
        <v/>
      </c>
      <c r="I3" s="13" t="n"/>
      <c r="J3" s="13" t="n"/>
      <c r="K3" s="9">
        <f>IFERROR(IF(VLOOKUP(D3,SKUs!$A$2:$G$34,7,FALSE)="","",VLOOKUP(D3,SKUs!$A$2:$G$34,7,FALSE)),"")</f>
        <v/>
      </c>
      <c r="L3" s="9">
        <f>IF(K3="","",ROUND(K3*(1-F3),2))</f>
        <v/>
      </c>
      <c r="M3" s="13" t="n"/>
      <c r="N3" s="13" t="n"/>
    </row>
    <row r="4">
      <c r="A4" s="8" t="inlineStr">
        <is>
          <t>Semana 1</t>
        </is>
      </c>
      <c r="B4" s="11" t="n">
        <v>46327</v>
      </c>
      <c r="C4" s="11" t="n">
        <v>46334</v>
      </c>
      <c r="D4" s="8" t="inlineStr">
        <is>
          <t>L4070-B</t>
        </is>
      </c>
      <c r="E4" s="8" t="inlineStr">
        <is>
          <t>C</t>
        </is>
      </c>
      <c r="F4" s="12" t="n">
        <v>0.04</v>
      </c>
      <c r="G4" s="9">
        <f>IFERROR(IF(VLOOKUP(D4,SKUs!$A$2:$G$34,6,FALSE)="","",VLOOKUP(D4,SKUs!$A$2:$G$34,6,FALSE)),"")</f>
        <v/>
      </c>
      <c r="H4" s="9">
        <f>IF(G4="","",ROUND(G4*(1-F4),2))</f>
        <v/>
      </c>
      <c r="I4" s="13" t="n"/>
      <c r="J4" s="13" t="n"/>
      <c r="K4" s="9">
        <f>IFERROR(IF(VLOOKUP(D4,SKUs!$A$2:$G$34,7,FALSE)="","",VLOOKUP(D4,SKUs!$A$2:$G$34,7,FALSE)),"")</f>
        <v/>
      </c>
      <c r="L4" s="9">
        <f>IF(K4="","",ROUND(K4*(1-F4),2))</f>
        <v/>
      </c>
      <c r="M4" s="13" t="n"/>
      <c r="N4" s="13" t="n"/>
    </row>
    <row r="5">
      <c r="A5" s="8" t="inlineStr">
        <is>
          <t>Semana 1</t>
        </is>
      </c>
      <c r="B5" s="11" t="n">
        <v>46327</v>
      </c>
      <c r="C5" s="11" t="n">
        <v>46334</v>
      </c>
      <c r="D5" s="8" t="inlineStr">
        <is>
          <t>L3060-CP</t>
        </is>
      </c>
      <c r="E5" s="8" t="inlineStr">
        <is>
          <t>C</t>
        </is>
      </c>
      <c r="F5" s="12" t="n">
        <v>0.04</v>
      </c>
      <c r="G5" s="9">
        <f>IFERROR(IF(VLOOKUP(D5,SKUs!$A$2:$G$34,6,FALSE)="","",VLOOKUP(D5,SKUs!$A$2:$G$34,6,FALSE)),"")</f>
        <v/>
      </c>
      <c r="H5" s="9">
        <f>IF(G5="","",ROUND(G5*(1-F5),2))</f>
        <v/>
      </c>
      <c r="I5" s="13" t="n"/>
      <c r="J5" s="13" t="n"/>
      <c r="K5" s="9">
        <f>IFERROR(IF(VLOOKUP(D5,SKUs!$A$2:$G$34,7,FALSE)="","",VLOOKUP(D5,SKUs!$A$2:$G$34,7,FALSE)),"")</f>
        <v/>
      </c>
      <c r="L5" s="9">
        <f>IF(K5="","",ROUND(K5*(1-F5),2))</f>
        <v/>
      </c>
      <c r="M5" s="13" t="n"/>
      <c r="N5" s="13" t="n"/>
    </row>
    <row r="6">
      <c r="A6" s="8" t="inlineStr">
        <is>
          <t>Semana 2</t>
        </is>
      </c>
      <c r="B6" s="11" t="n">
        <v>46335</v>
      </c>
      <c r="C6" s="11" t="n">
        <v>46341</v>
      </c>
      <c r="D6" s="8" t="inlineStr">
        <is>
          <t>P3060RA</t>
        </is>
      </c>
      <c r="E6" s="8" t="inlineStr">
        <is>
          <t>B</t>
        </is>
      </c>
      <c r="F6" s="12" t="n">
        <v>0.04</v>
      </c>
      <c r="G6" s="9">
        <f>IFERROR(IF(VLOOKUP(D6,SKUs!$A$2:$G$34,6,FALSE)="","",VLOOKUP(D6,SKUs!$A$2:$G$34,6,FALSE)),"")</f>
        <v/>
      </c>
      <c r="H6" s="9">
        <f>IF(G6="","",ROUND(G6*(1-F6),2))</f>
        <v/>
      </c>
      <c r="I6" s="13" t="n"/>
      <c r="J6" s="13" t="n"/>
      <c r="K6" s="9">
        <f>IFERROR(IF(VLOOKUP(D6,SKUs!$A$2:$G$34,7,FALSE)="","",VLOOKUP(D6,SKUs!$A$2:$G$34,7,FALSE)),"")</f>
        <v/>
      </c>
      <c r="L6" s="9">
        <f>IF(K6="","",ROUND(K6*(1-F6),2))</f>
        <v/>
      </c>
      <c r="M6" s="13" t="n"/>
      <c r="N6" s="13" t="n"/>
    </row>
    <row r="7">
      <c r="A7" s="8" t="inlineStr">
        <is>
          <t>Semana 2</t>
        </is>
      </c>
      <c r="B7" s="11" t="n">
        <v>46335</v>
      </c>
      <c r="C7" s="11" t="n">
        <v>46341</v>
      </c>
      <c r="D7" s="8" t="inlineStr">
        <is>
          <t>P4080RA</t>
        </is>
      </c>
      <c r="E7" s="8" t="inlineStr">
        <is>
          <t>B</t>
        </is>
      </c>
      <c r="F7" s="12" t="n">
        <v>0.04</v>
      </c>
      <c r="G7" s="9">
        <f>IFERROR(IF(VLOOKUP(D7,SKUs!$A$2:$G$34,6,FALSE)="","",VLOOKUP(D7,SKUs!$A$2:$G$34,6,FALSE)),"")</f>
        <v/>
      </c>
      <c r="H7" s="9">
        <f>IF(G7="","",ROUND(G7*(1-F7),2))</f>
        <v/>
      </c>
      <c r="I7" s="13" t="n"/>
      <c r="J7" s="13" t="n"/>
      <c r="K7" s="9">
        <f>IFERROR(IF(VLOOKUP(D7,SKUs!$A$2:$G$34,7,FALSE)="","",VLOOKUP(D7,SKUs!$A$2:$G$34,7,FALSE)),"")</f>
        <v/>
      </c>
      <c r="L7" s="9">
        <f>IF(K7="","",ROUND(K7*(1-F7),2))</f>
        <v/>
      </c>
      <c r="M7" s="13" t="n"/>
      <c r="N7" s="13" t="n"/>
    </row>
    <row r="8">
      <c r="A8" s="8" t="inlineStr">
        <is>
          <t>Semana 2</t>
        </is>
      </c>
      <c r="B8" s="11" t="n">
        <v>46335</v>
      </c>
      <c r="C8" s="11" t="n">
        <v>46341</v>
      </c>
      <c r="D8" s="8" t="inlineStr">
        <is>
          <t>EGC</t>
        </is>
      </c>
      <c r="E8" s="8" t="inlineStr">
        <is>
          <t>B</t>
        </is>
      </c>
      <c r="F8" s="12" t="n">
        <v>0.04</v>
      </c>
      <c r="G8" s="9">
        <f>IFERROR(IF(VLOOKUP(D8,SKUs!$A$2:$G$34,6,FALSE)="","",VLOOKUP(D8,SKUs!$A$2:$G$34,6,FALSE)),"")</f>
        <v/>
      </c>
      <c r="H8" s="9">
        <f>IF(G8="","",ROUND(G8*(1-F8),2))</f>
        <v/>
      </c>
      <c r="I8" s="13" t="n"/>
      <c r="J8" s="13" t="n"/>
      <c r="K8" s="9">
        <f>IFERROR(IF(VLOOKUP(D8,SKUs!$A$2:$G$34,7,FALSE)="","",VLOOKUP(D8,SKUs!$A$2:$G$34,7,FALSE)),"")</f>
        <v/>
      </c>
      <c r="L8" s="9">
        <f>IF(K8="","",ROUND(K8*(1-F8),2))</f>
        <v/>
      </c>
      <c r="M8" s="13" t="n"/>
      <c r="N8" s="13" t="n"/>
    </row>
    <row r="9">
      <c r="A9" s="8" t="inlineStr">
        <is>
          <t>Semana 2</t>
        </is>
      </c>
      <c r="B9" s="11" t="n">
        <v>46335</v>
      </c>
      <c r="C9" s="11" t="n">
        <v>46341</v>
      </c>
      <c r="D9" s="8" t="inlineStr">
        <is>
          <t>P4070</t>
        </is>
      </c>
      <c r="E9" s="8" t="inlineStr">
        <is>
          <t>B</t>
        </is>
      </c>
      <c r="F9" s="12" t="n">
        <v>0.04</v>
      </c>
      <c r="G9" s="9">
        <f>IFERROR(IF(VLOOKUP(D9,SKUs!$A$2:$G$34,6,FALSE)="","",VLOOKUP(D9,SKUs!$A$2:$G$34,6,FALSE)),"")</f>
        <v/>
      </c>
      <c r="H9" s="9">
        <f>IF(G9="","",ROUND(G9*(1-F9),2))</f>
        <v/>
      </c>
      <c r="I9" s="13" t="n"/>
      <c r="J9" s="13" t="n"/>
      <c r="K9" s="9">
        <f>IFERROR(IF(VLOOKUP(D9,SKUs!$A$2:$G$34,7,FALSE)="","",VLOOKUP(D9,SKUs!$A$2:$G$34,7,FALSE)),"")</f>
        <v/>
      </c>
      <c r="L9" s="9">
        <f>IF(K9="","",ROUND(K9*(1-F9),2))</f>
        <v/>
      </c>
      <c r="M9" s="13" t="n"/>
      <c r="N9" s="13" t="n"/>
    </row>
    <row r="10">
      <c r="A10" s="8" t="inlineStr">
        <is>
          <t>Semana 2</t>
        </is>
      </c>
      <c r="B10" s="11" t="n">
        <v>46335</v>
      </c>
      <c r="C10" s="11" t="n">
        <v>46341</v>
      </c>
      <c r="D10" s="8" t="inlineStr">
        <is>
          <t>L2440-B</t>
        </is>
      </c>
      <c r="E10" s="8" t="inlineStr">
        <is>
          <t>B</t>
        </is>
      </c>
      <c r="F10" s="12" t="n">
        <v>0.04</v>
      </c>
      <c r="G10" s="9">
        <f>IFERROR(IF(VLOOKUP(D10,SKUs!$A$2:$G$34,6,FALSE)="","",VLOOKUP(D10,SKUs!$A$2:$G$34,6,FALSE)),"")</f>
        <v/>
      </c>
      <c r="H10" s="9">
        <f>IF(G10="","",ROUND(G10*(1-F10),2))</f>
        <v/>
      </c>
      <c r="I10" s="13" t="n"/>
      <c r="J10" s="13" t="n"/>
      <c r="K10" s="9">
        <f>IFERROR(IF(VLOOKUP(D10,SKUs!$A$2:$G$34,7,FALSE)="","",VLOOKUP(D10,SKUs!$A$2:$G$34,7,FALSE)),"")</f>
        <v/>
      </c>
      <c r="L10" s="9">
        <f>IF(K10="","",ROUND(K10*(1-F10),2))</f>
        <v/>
      </c>
      <c r="M10" s="13" t="n"/>
      <c r="N10" s="13" t="n"/>
    </row>
    <row r="11">
      <c r="A11" s="8" t="inlineStr">
        <is>
          <t>Semana 2</t>
        </is>
      </c>
      <c r="B11" s="11" t="n">
        <v>46335</v>
      </c>
      <c r="C11" s="11" t="n">
        <v>46341</v>
      </c>
      <c r="D11" s="8" t="inlineStr">
        <is>
          <t>L2430-B</t>
        </is>
      </c>
      <c r="E11" s="8" t="inlineStr">
        <is>
          <t>B</t>
        </is>
      </c>
      <c r="F11" s="12" t="n">
        <v>0.04</v>
      </c>
      <c r="G11" s="9">
        <f>IFERROR(IF(VLOOKUP(D11,SKUs!$A$2:$G$34,6,FALSE)="","",VLOOKUP(D11,SKUs!$A$2:$G$34,6,FALSE)),"")</f>
        <v/>
      </c>
      <c r="H11" s="9">
        <f>IF(G11="","",ROUND(G11*(1-F11),2))</f>
        <v/>
      </c>
      <c r="I11" s="13" t="n"/>
      <c r="J11" s="13" t="n"/>
      <c r="K11" s="9">
        <f>IFERROR(IF(VLOOKUP(D11,SKUs!$A$2:$G$34,7,FALSE)="","",VLOOKUP(D11,SKUs!$A$2:$G$34,7,FALSE)),"")</f>
        <v/>
      </c>
      <c r="L11" s="9">
        <f>IF(K11="","",ROUND(K11*(1-F11),2))</f>
        <v/>
      </c>
      <c r="M11" s="13" t="n"/>
      <c r="N11" s="13" t="n"/>
    </row>
    <row r="12">
      <c r="A12" s="8" t="inlineStr">
        <is>
          <t>Semana 2</t>
        </is>
      </c>
      <c r="B12" s="11" t="n">
        <v>46335</v>
      </c>
      <c r="C12" s="11" t="n">
        <v>46341</v>
      </c>
      <c r="D12" s="8" t="inlineStr">
        <is>
          <t>L2430-A</t>
        </is>
      </c>
      <c r="E12" s="8" t="inlineStr">
        <is>
          <t>B</t>
        </is>
      </c>
      <c r="F12" s="12" t="n">
        <v>0.04</v>
      </c>
      <c r="G12" s="9">
        <f>IFERROR(IF(VLOOKUP(D12,SKUs!$A$2:$G$34,6,FALSE)="","",VLOOKUP(D12,SKUs!$A$2:$G$34,6,FALSE)),"")</f>
        <v/>
      </c>
      <c r="H12" s="9">
        <f>IF(G12="","",ROUND(G12*(1-F12),2))</f>
        <v/>
      </c>
      <c r="I12" s="13" t="n"/>
      <c r="J12" s="13" t="n"/>
      <c r="K12" s="9">
        <f>IFERROR(IF(VLOOKUP(D12,SKUs!$A$2:$G$34,7,FALSE)="","",VLOOKUP(D12,SKUs!$A$2:$G$34,7,FALSE)),"")</f>
        <v/>
      </c>
      <c r="L12" s="9">
        <f>IF(K12="","",ROUND(K12*(1-F12),2))</f>
        <v/>
      </c>
      <c r="M12" s="13" t="n"/>
      <c r="N12" s="13" t="n"/>
    </row>
    <row r="13">
      <c r="A13" s="8" t="inlineStr">
        <is>
          <t>Semana 2</t>
        </is>
      </c>
      <c r="B13" s="11" t="n">
        <v>46335</v>
      </c>
      <c r="C13" s="11" t="n">
        <v>46341</v>
      </c>
      <c r="D13" s="8" t="inlineStr">
        <is>
          <t>L2450-A</t>
        </is>
      </c>
      <c r="E13" s="8" t="inlineStr">
        <is>
          <t>B</t>
        </is>
      </c>
      <c r="F13" s="12" t="n">
        <v>0.04</v>
      </c>
      <c r="G13" s="9">
        <f>IFERROR(IF(VLOOKUP(D13,SKUs!$A$2:$G$34,6,FALSE)="","",VLOOKUP(D13,SKUs!$A$2:$G$34,6,FALSE)),"")</f>
        <v/>
      </c>
      <c r="H13" s="9">
        <f>IF(G13="","",ROUND(G13*(1-F13),2))</f>
        <v/>
      </c>
      <c r="I13" s="13" t="n"/>
      <c r="J13" s="13" t="n"/>
      <c r="K13" s="9">
        <f>IFERROR(IF(VLOOKUP(D13,SKUs!$A$2:$G$34,7,FALSE)="","",VLOOKUP(D13,SKUs!$A$2:$G$34,7,FALSE)),"")</f>
        <v/>
      </c>
      <c r="L13" s="9">
        <f>IF(K13="","",ROUND(K13*(1-F13),2))</f>
        <v/>
      </c>
      <c r="M13" s="13" t="n"/>
      <c r="N13" s="13" t="n"/>
    </row>
    <row r="14">
      <c r="A14" s="8" t="inlineStr">
        <is>
          <t>Semana 2</t>
        </is>
      </c>
      <c r="B14" s="11" t="n">
        <v>46335</v>
      </c>
      <c r="C14" s="11" t="n">
        <v>46341</v>
      </c>
      <c r="D14" s="8" t="inlineStr">
        <is>
          <t>P2025</t>
        </is>
      </c>
      <c r="E14" s="8" t="inlineStr">
        <is>
          <t>B</t>
        </is>
      </c>
      <c r="F14" s="12" t="n">
        <v>0.04</v>
      </c>
      <c r="G14" s="9">
        <f>IFERROR(IF(VLOOKUP(D14,SKUs!$A$2:$G$34,6,FALSE)="","",VLOOKUP(D14,SKUs!$A$2:$G$34,6,FALSE)),"")</f>
        <v/>
      </c>
      <c r="H14" s="9">
        <f>IF(G14="","",ROUND(G14*(1-F14),2))</f>
        <v/>
      </c>
      <c r="I14" s="13" t="n"/>
      <c r="J14" s="13" t="n"/>
      <c r="K14" s="9">
        <f>IFERROR(IF(VLOOKUP(D14,SKUs!$A$2:$G$34,7,FALSE)="","",VLOOKUP(D14,SKUs!$A$2:$G$34,7,FALSE)),"")</f>
        <v/>
      </c>
      <c r="L14" s="9">
        <f>IF(K14="","",ROUND(K14*(1-F14),2))</f>
        <v/>
      </c>
      <c r="M14" s="13" t="n"/>
      <c r="N14" s="13" t="n"/>
    </row>
    <row r="15">
      <c r="A15" s="8" t="inlineStr">
        <is>
          <t>Semana 2</t>
        </is>
      </c>
      <c r="B15" s="11" t="n">
        <v>46335</v>
      </c>
      <c r="C15" s="11" t="n">
        <v>46341</v>
      </c>
      <c r="D15" s="8" t="inlineStr">
        <is>
          <t>SP-F</t>
        </is>
      </c>
      <c r="E15" s="8" t="inlineStr">
        <is>
          <t>B</t>
        </is>
      </c>
      <c r="F15" s="12" t="n">
        <v>0.04</v>
      </c>
      <c r="G15" s="9">
        <f>IFERROR(IF(VLOOKUP(D15,SKUs!$A$2:$G$34,6,FALSE)="","",VLOOKUP(D15,SKUs!$A$2:$G$34,6,FALSE)),"")</f>
        <v/>
      </c>
      <c r="H15" s="9">
        <f>IF(G15="","",ROUND(G15*(1-F15),2))</f>
        <v/>
      </c>
      <c r="I15" s="13" t="n"/>
      <c r="J15" s="13" t="n"/>
      <c r="K15" s="9">
        <f>IFERROR(IF(VLOOKUP(D15,SKUs!$A$2:$G$34,7,FALSE)="","",VLOOKUP(D15,SKUs!$A$2:$G$34,7,FALSE)),"")</f>
        <v/>
      </c>
      <c r="L15" s="9">
        <f>IF(K15="","",ROUND(K15*(1-F15),2))</f>
        <v/>
      </c>
      <c r="M15" s="13" t="n"/>
      <c r="N15" s="13" t="n"/>
    </row>
    <row r="16">
      <c r="A16" s="8" t="inlineStr">
        <is>
          <t>Semana 2</t>
        </is>
      </c>
      <c r="B16" s="11" t="n">
        <v>46335</v>
      </c>
      <c r="C16" s="11" t="n">
        <v>46341</v>
      </c>
      <c r="D16" s="8" t="inlineStr">
        <is>
          <t>SP-T</t>
        </is>
      </c>
      <c r="E16" s="8" t="inlineStr">
        <is>
          <t>B</t>
        </is>
      </c>
      <c r="F16" s="12" t="n">
        <v>0.04</v>
      </c>
      <c r="G16" s="9">
        <f>IFERROR(IF(VLOOKUP(D16,SKUs!$A$2:$G$34,6,FALSE)="","",VLOOKUP(D16,SKUs!$A$2:$G$34,6,FALSE)),"")</f>
        <v/>
      </c>
      <c r="H16" s="9">
        <f>IF(G16="","",ROUND(G16*(1-F16),2))</f>
        <v/>
      </c>
      <c r="I16" s="13" t="n"/>
      <c r="J16" s="13" t="n"/>
      <c r="K16" s="9">
        <f>IFERROR(IF(VLOOKUP(D16,SKUs!$A$2:$G$34,7,FALSE)="","",VLOOKUP(D16,SKUs!$A$2:$G$34,7,FALSE)),"")</f>
        <v/>
      </c>
      <c r="L16" s="9">
        <f>IF(K16="","",ROUND(K16*(1-F16),2))</f>
        <v/>
      </c>
      <c r="M16" s="13" t="n"/>
      <c r="N16" s="13" t="n"/>
    </row>
    <row r="17">
      <c r="A17" s="8" t="inlineStr">
        <is>
          <t>Semana 2</t>
        </is>
      </c>
      <c r="B17" s="11" t="n">
        <v>46335</v>
      </c>
      <c r="C17" s="11" t="n">
        <v>46341</v>
      </c>
      <c r="D17" s="8" t="inlineStr">
        <is>
          <t>PG3070</t>
        </is>
      </c>
      <c r="E17" s="8" t="inlineStr">
        <is>
          <t>B</t>
        </is>
      </c>
      <c r="F17" s="12" t="n">
        <v>0.04</v>
      </c>
      <c r="G17" s="9">
        <f>IFERROR(IF(VLOOKUP(D17,SKUs!$A$2:$G$34,6,FALSE)="","",VLOOKUP(D17,SKUs!$A$2:$G$34,6,FALSE)),"")</f>
        <v/>
      </c>
      <c r="H17" s="9">
        <f>IF(G17="","",ROUND(G17*(1-F17),2))</f>
        <v/>
      </c>
      <c r="I17" s="13" t="n"/>
      <c r="J17" s="13" t="n"/>
      <c r="K17" s="9">
        <f>IFERROR(IF(VLOOKUP(D17,SKUs!$A$2:$G$34,7,FALSE)="","",VLOOKUP(D17,SKUs!$A$2:$G$34,7,FALSE)),"")</f>
        <v/>
      </c>
      <c r="L17" s="9">
        <f>IF(K17="","",ROUND(K17*(1-F17),2))</f>
        <v/>
      </c>
      <c r="M17" s="13" t="n"/>
      <c r="N17" s="13" t="n"/>
    </row>
    <row r="18">
      <c r="A18" s="8" t="inlineStr">
        <is>
          <t>Semana 2</t>
        </is>
      </c>
      <c r="B18" s="11" t="n">
        <v>46335</v>
      </c>
      <c r="C18" s="11" t="n">
        <v>46341</v>
      </c>
      <c r="D18" s="8" t="inlineStr">
        <is>
          <t>PQ-3060</t>
        </is>
      </c>
      <c r="E18" s="8" t="inlineStr">
        <is>
          <t>B</t>
        </is>
      </c>
      <c r="F18" s="12" t="n">
        <v>0.04</v>
      </c>
      <c r="G18" s="9">
        <f>IFERROR(IF(VLOOKUP(D18,SKUs!$A$2:$G$34,6,FALSE)="","",VLOOKUP(D18,SKUs!$A$2:$G$34,6,FALSE)),"")</f>
        <v/>
      </c>
      <c r="H18" s="9">
        <f>IF(G18="","",ROUND(G18*(1-F18),2))</f>
        <v/>
      </c>
      <c r="I18" s="13" t="n"/>
      <c r="J18" s="13" t="n"/>
      <c r="K18" s="9">
        <f>IFERROR(IF(VLOOKUP(D18,SKUs!$A$2:$G$34,7,FALSE)="","",VLOOKUP(D18,SKUs!$A$2:$G$34,7,FALSE)),"")</f>
        <v/>
      </c>
      <c r="L18" s="9">
        <f>IF(K18="","",ROUND(K18*(1-F18),2))</f>
        <v/>
      </c>
      <c r="M18" s="13" t="n"/>
      <c r="N18" s="13" t="n"/>
    </row>
    <row r="19">
      <c r="A19" s="8" t="inlineStr">
        <is>
          <t>Semana 3</t>
        </is>
      </c>
      <c r="B19" s="11" t="n">
        <v>46342</v>
      </c>
      <c r="C19" s="11" t="n">
        <v>46348</v>
      </c>
      <c r="D19" s="8" t="inlineStr">
        <is>
          <t>PXP</t>
        </is>
      </c>
      <c r="E19" s="8" t="inlineStr">
        <is>
          <t>A</t>
        </is>
      </c>
      <c r="F19" s="12" t="n">
        <v>0.02</v>
      </c>
      <c r="G19" s="9">
        <f>IFERROR(IF(VLOOKUP(D19,SKUs!$A$2:$G$34,6,FALSE)="","",VLOOKUP(D19,SKUs!$A$2:$G$34,6,FALSE)),"")</f>
        <v/>
      </c>
      <c r="H19" s="9">
        <f>IF(G19="","",ROUND(G19*(1-F19),2))</f>
        <v/>
      </c>
      <c r="I19" s="13" t="n"/>
      <c r="J19" s="13" t="n"/>
      <c r="K19" s="9">
        <f>IFERROR(IF(VLOOKUP(D19,SKUs!$A$2:$G$34,7,FALSE)="","",VLOOKUP(D19,SKUs!$A$2:$G$34,7,FALSE)),"")</f>
        <v/>
      </c>
      <c r="L19" s="9">
        <f>IF(K19="","",ROUND(K19*(1-F19),2))</f>
        <v/>
      </c>
      <c r="M19" s="13" t="n"/>
      <c r="N19" s="13" t="n"/>
    </row>
    <row r="20">
      <c r="A20" s="8" t="inlineStr">
        <is>
          <t>Semana 3</t>
        </is>
      </c>
      <c r="B20" s="11" t="n">
        <v>46342</v>
      </c>
      <c r="C20" s="11" t="n">
        <v>46348</v>
      </c>
      <c r="D20" s="8" t="inlineStr">
        <is>
          <t>PXM</t>
        </is>
      </c>
      <c r="E20" s="8" t="inlineStr">
        <is>
          <t>A</t>
        </is>
      </c>
      <c r="F20" s="12" t="n">
        <v>0.02</v>
      </c>
      <c r="G20" s="9">
        <f>IFERROR(IF(VLOOKUP(D20,SKUs!$A$2:$G$34,6,FALSE)="","",VLOOKUP(D20,SKUs!$A$2:$G$34,6,FALSE)),"")</f>
        <v/>
      </c>
      <c r="H20" s="9">
        <f>IF(G20="","",ROUND(G20*(1-F20),2))</f>
        <v/>
      </c>
      <c r="I20" s="13" t="n"/>
      <c r="J20" s="13" t="n"/>
      <c r="K20" s="9">
        <f>IFERROR(IF(VLOOKUP(D20,SKUs!$A$2:$G$34,7,FALSE)="","",VLOOKUP(D20,SKUs!$A$2:$G$34,7,FALSE)),"")</f>
        <v/>
      </c>
      <c r="L20" s="9">
        <f>IF(K20="","",ROUND(K20*(1-F20),2))</f>
        <v/>
      </c>
      <c r="M20" s="13" t="n"/>
      <c r="N20" s="13" t="n"/>
    </row>
    <row r="21">
      <c r="A21" s="8" t="inlineStr">
        <is>
          <t>Semana 3</t>
        </is>
      </c>
      <c r="B21" s="11" t="n">
        <v>46342</v>
      </c>
      <c r="C21" s="11" t="n">
        <v>46348</v>
      </c>
      <c r="D21" s="8" t="inlineStr">
        <is>
          <t>SP-01</t>
        </is>
      </c>
      <c r="E21" s="8" t="inlineStr">
        <is>
          <t>A</t>
        </is>
      </c>
      <c r="F21" s="12" t="n">
        <v>0.02</v>
      </c>
      <c r="G21" s="9">
        <f>IFERROR(IF(VLOOKUP(D21,SKUs!$A$2:$G$34,6,FALSE)="","",VLOOKUP(D21,SKUs!$A$2:$G$34,6,FALSE)),"")</f>
        <v/>
      </c>
      <c r="H21" s="9">
        <f>IF(G21="","",ROUND(G21*(1-F21),2))</f>
        <v/>
      </c>
      <c r="I21" s="13" t="n"/>
      <c r="J21" s="13" t="n"/>
      <c r="K21" s="9">
        <f>IFERROR(IF(VLOOKUP(D21,SKUs!$A$2:$G$34,7,FALSE)="","",VLOOKUP(D21,SKUs!$A$2:$G$34,7,FALSE)),"")</f>
        <v/>
      </c>
      <c r="L21" s="9">
        <f>IF(K21="","",ROUND(K21*(1-F21),2))</f>
        <v/>
      </c>
      <c r="M21" s="13" t="n"/>
      <c r="N21" s="13" t="n"/>
    </row>
    <row r="22">
      <c r="A22" s="8" t="inlineStr">
        <is>
          <t>Semana 3</t>
        </is>
      </c>
      <c r="B22" s="11" t="n">
        <v>46342</v>
      </c>
      <c r="C22" s="11" t="n">
        <v>46348</v>
      </c>
      <c r="D22" s="8" t="inlineStr">
        <is>
          <t>P3060</t>
        </is>
      </c>
      <c r="E22" s="8" t="inlineStr">
        <is>
          <t>A</t>
        </is>
      </c>
      <c r="F22" s="12" t="n">
        <v>0.02</v>
      </c>
      <c r="G22" s="9">
        <f>IFERROR(IF(VLOOKUP(D22,SKUs!$A$2:$G$34,6,FALSE)="","",VLOOKUP(D22,SKUs!$A$2:$G$34,6,FALSE)),"")</f>
        <v/>
      </c>
      <c r="H22" s="9">
        <f>IF(G22="","",ROUND(G22*(1-F22),2))</f>
        <v/>
      </c>
      <c r="I22" s="13" t="n"/>
      <c r="J22" s="13" t="n"/>
      <c r="K22" s="9">
        <f>IFERROR(IF(VLOOKUP(D22,SKUs!$A$2:$G$34,7,FALSE)="","",VLOOKUP(D22,SKUs!$A$2:$G$34,7,FALSE)),"")</f>
        <v/>
      </c>
      <c r="L22" s="9">
        <f>IF(K22="","",ROUND(K22*(1-F22),2))</f>
        <v/>
      </c>
      <c r="M22" s="13" t="n"/>
      <c r="N22" s="13" t="n"/>
    </row>
    <row r="23">
      <c r="A23" s="8" t="inlineStr">
        <is>
          <t>Semana 3</t>
        </is>
      </c>
      <c r="B23" s="11" t="n">
        <v>46342</v>
      </c>
      <c r="C23" s="11" t="n">
        <v>46348</v>
      </c>
      <c r="D23" s="8" t="inlineStr">
        <is>
          <t>P4080</t>
        </is>
      </c>
      <c r="E23" s="8" t="inlineStr">
        <is>
          <t>A</t>
        </is>
      </c>
      <c r="F23" s="12" t="n">
        <v>0.02</v>
      </c>
      <c r="G23" s="9">
        <f>IFERROR(IF(VLOOKUP(D23,SKUs!$A$2:$G$34,6,FALSE)="","",VLOOKUP(D23,SKUs!$A$2:$G$34,6,FALSE)),"")</f>
        <v/>
      </c>
      <c r="H23" s="9">
        <f>IF(G23="","",ROUND(G23*(1-F23),2))</f>
        <v/>
      </c>
      <c r="I23" s="13" t="n"/>
      <c r="J23" s="13" t="n"/>
      <c r="K23" s="9">
        <f>IFERROR(IF(VLOOKUP(D23,SKUs!$A$2:$G$34,7,FALSE)="","",VLOOKUP(D23,SKUs!$A$2:$G$34,7,FALSE)),"")</f>
        <v/>
      </c>
      <c r="L23" s="9">
        <f>IF(K23="","",ROUND(K23*(1-F23),2))</f>
        <v/>
      </c>
      <c r="M23" s="13" t="n"/>
      <c r="N23" s="13" t="n"/>
    </row>
    <row r="24">
      <c r="A24" s="8" t="inlineStr">
        <is>
          <t>Semana 3</t>
        </is>
      </c>
      <c r="B24" s="11" t="n">
        <v>46342</v>
      </c>
      <c r="C24" s="11" t="n">
        <v>46348</v>
      </c>
      <c r="D24" s="8" t="inlineStr">
        <is>
          <t>P3070</t>
        </is>
      </c>
      <c r="E24" s="8" t="inlineStr">
        <is>
          <t>A</t>
        </is>
      </c>
      <c r="F24" s="12" t="n">
        <v>0.02</v>
      </c>
      <c r="G24" s="9">
        <f>IFERROR(IF(VLOOKUP(D24,SKUs!$A$2:$G$34,6,FALSE)="","",VLOOKUP(D24,SKUs!$A$2:$G$34,6,FALSE)),"")</f>
        <v/>
      </c>
      <c r="H24" s="9">
        <f>IF(G24="","",ROUND(G24*(1-F24),2))</f>
        <v/>
      </c>
      <c r="I24" s="13" t="n"/>
      <c r="J24" s="13" t="n"/>
      <c r="K24" s="9">
        <f>IFERROR(IF(VLOOKUP(D24,SKUs!$A$2:$G$34,7,FALSE)="","",VLOOKUP(D24,SKUs!$A$2:$G$34,7,FALSE)),"")</f>
        <v/>
      </c>
      <c r="L24" s="9">
        <f>IF(K24="","",ROUND(K24*(1-F24),2))</f>
        <v/>
      </c>
      <c r="M24" s="13" t="n"/>
      <c r="N24" s="13" t="n"/>
    </row>
    <row r="25">
      <c r="A25" s="8" t="inlineStr">
        <is>
          <t>Semana 3</t>
        </is>
      </c>
      <c r="B25" s="11" t="n">
        <v>46342</v>
      </c>
      <c r="C25" s="11" t="n">
        <v>46348</v>
      </c>
      <c r="D25" s="8" t="inlineStr">
        <is>
          <t>P2440</t>
        </is>
      </c>
      <c r="E25" s="8" t="inlineStr">
        <is>
          <t>A</t>
        </is>
      </c>
      <c r="F25" s="12" t="n">
        <v>0.02</v>
      </c>
      <c r="G25" s="9">
        <f>IFERROR(IF(VLOOKUP(D25,SKUs!$A$2:$G$34,6,FALSE)="","",VLOOKUP(D25,SKUs!$A$2:$G$34,6,FALSE)),"")</f>
        <v/>
      </c>
      <c r="H25" s="9">
        <f>IF(G25="","",ROUND(G25*(1-F25),2))</f>
        <v/>
      </c>
      <c r="I25" s="13" t="n"/>
      <c r="J25" s="13" t="n"/>
      <c r="K25" s="9">
        <f>IFERROR(IF(VLOOKUP(D25,SKUs!$A$2:$G$34,7,FALSE)="","",VLOOKUP(D25,SKUs!$A$2:$G$34,7,FALSE)),"")</f>
        <v/>
      </c>
      <c r="L25" s="9">
        <f>IF(K25="","",ROUND(K25*(1-F25),2))</f>
        <v/>
      </c>
      <c r="M25" s="13" t="n"/>
      <c r="N25" s="13" t="n"/>
    </row>
    <row r="26">
      <c r="A26" s="8" t="inlineStr">
        <is>
          <t>Semana 3</t>
        </is>
      </c>
      <c r="B26" s="11" t="n">
        <v>46342</v>
      </c>
      <c r="C26" s="11" t="n">
        <v>46348</v>
      </c>
      <c r="D26" s="8" t="inlineStr">
        <is>
          <t>L2470-CZ</t>
        </is>
      </c>
      <c r="E26" s="8" t="inlineStr">
        <is>
          <t>A</t>
        </is>
      </c>
      <c r="F26" s="12" t="n">
        <v>0.02</v>
      </c>
      <c r="G26" s="9">
        <f>IFERROR(IF(VLOOKUP(D26,SKUs!$A$2:$G$34,6,FALSE)="","",VLOOKUP(D26,SKUs!$A$2:$G$34,6,FALSE)),"")</f>
        <v/>
      </c>
      <c r="H26" s="9">
        <f>IF(G26="","",ROUND(G26*(1-F26),2))</f>
        <v/>
      </c>
      <c r="I26" s="13" t="n"/>
      <c r="J26" s="13" t="n"/>
      <c r="K26" s="9">
        <f>IFERROR(IF(VLOOKUP(D26,SKUs!$A$2:$G$34,7,FALSE)="","",VLOOKUP(D26,SKUs!$A$2:$G$34,7,FALSE)),"")</f>
        <v/>
      </c>
      <c r="L26" s="9">
        <f>IF(K26="","",ROUND(K26*(1-F26),2))</f>
        <v/>
      </c>
      <c r="M26" s="13" t="n"/>
      <c r="N26" s="13" t="n"/>
    </row>
    <row r="27">
      <c r="A27" s="8" t="inlineStr">
        <is>
          <t>Semana 3</t>
        </is>
      </c>
      <c r="B27" s="11" t="n">
        <v>46342</v>
      </c>
      <c r="C27" s="11" t="n">
        <v>46348</v>
      </c>
      <c r="D27" s="8" t="inlineStr">
        <is>
          <t>L2440-AML</t>
        </is>
      </c>
      <c r="E27" s="8" t="inlineStr">
        <is>
          <t>A</t>
        </is>
      </c>
      <c r="F27" s="12" t="n">
        <v>0.02</v>
      </c>
      <c r="G27" s="9">
        <f>IFERROR(IF(VLOOKUP(D27,SKUs!$A$2:$G$34,6,FALSE)="","",VLOOKUP(D27,SKUs!$A$2:$G$34,6,FALSE)),"")</f>
        <v/>
      </c>
      <c r="H27" s="9">
        <f>IF(G27="","",ROUND(G27*(1-F27),2))</f>
        <v/>
      </c>
      <c r="I27" s="13" t="n"/>
      <c r="J27" s="13" t="n"/>
      <c r="K27" s="9">
        <f>IFERROR(IF(VLOOKUP(D27,SKUs!$A$2:$G$34,7,FALSE)="","",VLOOKUP(D27,SKUs!$A$2:$G$34,7,FALSE)),"")</f>
        <v/>
      </c>
      <c r="L27" s="9">
        <f>IF(K27="","",ROUND(K27*(1-F27),2))</f>
        <v/>
      </c>
      <c r="M27" s="13" t="n"/>
      <c r="N27" s="13" t="n"/>
    </row>
    <row r="28">
      <c r="A28" s="8" t="inlineStr">
        <is>
          <t>Semana 3</t>
        </is>
      </c>
      <c r="B28" s="11" t="n">
        <v>46342</v>
      </c>
      <c r="C28" s="11" t="n">
        <v>46348</v>
      </c>
      <c r="D28" s="8" t="inlineStr">
        <is>
          <t>L2460-AML</t>
        </is>
      </c>
      <c r="E28" s="8" t="inlineStr">
        <is>
          <t>A</t>
        </is>
      </c>
      <c r="F28" s="12" t="n">
        <v>0.02</v>
      </c>
      <c r="G28" s="9">
        <f>IFERROR(IF(VLOOKUP(D28,SKUs!$A$2:$G$34,6,FALSE)="","",VLOOKUP(D28,SKUs!$A$2:$G$34,6,FALSE)),"")</f>
        <v/>
      </c>
      <c r="H28" s="9">
        <f>IF(G28="","",ROUND(G28*(1-F28),2))</f>
        <v/>
      </c>
      <c r="I28" s="13" t="n"/>
      <c r="J28" s="13" t="n"/>
      <c r="K28" s="9">
        <f>IFERROR(IF(VLOOKUP(D28,SKUs!$A$2:$G$34,7,FALSE)="","",VLOOKUP(D28,SKUs!$A$2:$G$34,7,FALSE)),"")</f>
        <v/>
      </c>
      <c r="L28" s="9">
        <f>IF(K28="","",ROUND(K28*(1-F28),2))</f>
        <v/>
      </c>
      <c r="M28" s="13" t="n"/>
      <c r="N28" s="13" t="n"/>
    </row>
    <row r="29">
      <c r="A29" s="8" t="inlineStr">
        <is>
          <t>Semana 3</t>
        </is>
      </c>
      <c r="B29" s="11" t="n">
        <v>46342</v>
      </c>
      <c r="C29" s="11" t="n">
        <v>46348</v>
      </c>
      <c r="D29" s="8" t="inlineStr">
        <is>
          <t>L3060-AML</t>
        </is>
      </c>
      <c r="E29" s="8" t="inlineStr">
        <is>
          <t>A</t>
        </is>
      </c>
      <c r="F29" s="12" t="n">
        <v>0.02</v>
      </c>
      <c r="G29" s="9">
        <f>IFERROR(IF(VLOOKUP(D29,SKUs!$A$2:$G$34,6,FALSE)="","",VLOOKUP(D29,SKUs!$A$2:$G$34,6,FALSE)),"")</f>
        <v/>
      </c>
      <c r="H29" s="9">
        <f>IF(G29="","",ROUND(G29*(1-F29),2))</f>
        <v/>
      </c>
      <c r="I29" s="13" t="n"/>
      <c r="J29" s="13" t="n"/>
      <c r="K29" s="9">
        <f>IFERROR(IF(VLOOKUP(D29,SKUs!$A$2:$G$34,7,FALSE)="","",VLOOKUP(D29,SKUs!$A$2:$G$34,7,FALSE)),"")</f>
        <v/>
      </c>
      <c r="L29" s="9">
        <f>IF(K29="","",ROUND(K29*(1-F29),2))</f>
        <v/>
      </c>
      <c r="M29" s="13" t="n"/>
      <c r="N29" s="13" t="n"/>
    </row>
    <row r="30">
      <c r="A30" s="8" t="inlineStr">
        <is>
          <t>Semana 3</t>
        </is>
      </c>
      <c r="B30" s="11" t="n">
        <v>46342</v>
      </c>
      <c r="C30" s="11" t="n">
        <v>46348</v>
      </c>
      <c r="D30" s="8" t="inlineStr">
        <is>
          <t>Q3060-B</t>
        </is>
      </c>
      <c r="E30" s="8" t="inlineStr">
        <is>
          <t>A</t>
        </is>
      </c>
      <c r="F30" s="12" t="n">
        <v>0.02</v>
      </c>
      <c r="G30" s="9">
        <f>IFERROR(IF(VLOOKUP(D30,SKUs!$A$2:$G$34,6,FALSE)="","",VLOOKUP(D30,SKUs!$A$2:$G$34,6,FALSE)),"")</f>
        <v/>
      </c>
      <c r="H30" s="9">
        <f>IF(G30="","",ROUND(G30*(1-F30),2))</f>
        <v/>
      </c>
      <c r="I30" s="13" t="n"/>
      <c r="J30" s="13" t="n"/>
      <c r="K30" s="9">
        <f>IFERROR(IF(VLOOKUP(D30,SKUs!$A$2:$G$34,7,FALSE)="","",VLOOKUP(D30,SKUs!$A$2:$G$34,7,FALSE)),"")</f>
        <v/>
      </c>
      <c r="L30" s="9">
        <f>IF(K30="","",ROUND(K30*(1-F30),2))</f>
        <v/>
      </c>
      <c r="M30" s="13" t="n"/>
      <c r="N30" s="13" t="n"/>
    </row>
    <row r="31">
      <c r="A31" s="8" t="inlineStr">
        <is>
          <t>Semana 3</t>
        </is>
      </c>
      <c r="B31" s="11" t="n">
        <v>46342</v>
      </c>
      <c r="C31" s="11" t="n">
        <v>46348</v>
      </c>
      <c r="D31" s="8" t="inlineStr">
        <is>
          <t>L2025-T</t>
        </is>
      </c>
      <c r="E31" s="8" t="inlineStr">
        <is>
          <t>A</t>
        </is>
      </c>
      <c r="F31" s="12" t="n">
        <v>0.02</v>
      </c>
      <c r="G31" s="9">
        <f>IFERROR(IF(VLOOKUP(D31,SKUs!$A$2:$G$34,6,FALSE)="","",VLOOKUP(D31,SKUs!$A$2:$G$34,6,FALSE)),"")</f>
        <v/>
      </c>
      <c r="H31" s="9">
        <f>IF(G31="","",ROUND(G31*(1-F31),2))</f>
        <v/>
      </c>
      <c r="I31" s="13" t="n"/>
      <c r="J31" s="13" t="n"/>
      <c r="K31" s="9">
        <f>IFERROR(IF(VLOOKUP(D31,SKUs!$A$2:$G$34,7,FALSE)="","",VLOOKUP(D31,SKUs!$A$2:$G$34,7,FALSE)),"")</f>
        <v/>
      </c>
      <c r="L31" s="9">
        <f>IF(K31="","",ROUND(K31*(1-F31),2))</f>
        <v/>
      </c>
      <c r="M31" s="13" t="n"/>
      <c r="N31" s="13" t="n"/>
    </row>
    <row r="32">
      <c r="A32" s="8" t="inlineStr">
        <is>
          <t>Semanas 1–3 (Embutir, contínuo)</t>
        </is>
      </c>
      <c r="B32" s="11" t="n">
        <v>46327</v>
      </c>
      <c r="C32" s="11" t="n">
        <v>46348</v>
      </c>
      <c r="D32" s="8" t="inlineStr">
        <is>
          <t>EMB-03</t>
        </is>
      </c>
      <c r="E32" s="8" t="inlineStr">
        <is>
          <t>Queima</t>
        </is>
      </c>
      <c r="F32" s="12" t="n">
        <v>0.08</v>
      </c>
      <c r="G32" s="9">
        <f>IFERROR(IF(VLOOKUP(D32,SKUs!$A$2:$G$34,6,FALSE)="","",VLOOKUP(D32,SKUs!$A$2:$G$34,6,FALSE)),"")</f>
        <v/>
      </c>
      <c r="H32" s="9">
        <f>IF(G32="","",ROUND(G32*(1-F32),2))</f>
        <v/>
      </c>
      <c r="I32" s="13" t="n"/>
      <c r="J32" s="13" t="n"/>
      <c r="K32" s="9">
        <f>IFERROR(IF(VLOOKUP(D32,SKUs!$A$2:$G$34,7,FALSE)="","",VLOOKUP(D32,SKUs!$A$2:$G$34,7,FALSE)),"")</f>
        <v/>
      </c>
      <c r="L32" s="9">
        <f>IF(K32="","",ROUND(K32*(1-F32),2))</f>
        <v/>
      </c>
      <c r="M32" s="13" t="n"/>
      <c r="N32" s="13" t="n"/>
    </row>
    <row r="33">
      <c r="A33" s="8" t="inlineStr">
        <is>
          <t>Semanas 1–3 (Embutir, contínuo)</t>
        </is>
      </c>
      <c r="B33" s="11" t="n">
        <v>46327</v>
      </c>
      <c r="C33" s="11" t="n">
        <v>46348</v>
      </c>
      <c r="D33" s="8" t="inlineStr">
        <is>
          <t>EMB-05</t>
        </is>
      </c>
      <c r="E33" s="8" t="inlineStr">
        <is>
          <t>Queima</t>
        </is>
      </c>
      <c r="F33" s="12" t="n">
        <v>0.08</v>
      </c>
      <c r="G33" s="9">
        <f>IFERROR(IF(VLOOKUP(D33,SKUs!$A$2:$G$34,6,FALSE)="","",VLOOKUP(D33,SKUs!$A$2:$G$34,6,FALSE)),"")</f>
        <v/>
      </c>
      <c r="H33" s="9">
        <f>IF(G33="","",ROUND(G33*(1-F33),2))</f>
        <v/>
      </c>
      <c r="I33" s="13" t="n"/>
      <c r="J33" s="13" t="n"/>
      <c r="K33" s="9">
        <f>IFERROR(IF(VLOOKUP(D33,SKUs!$A$2:$G$34,7,FALSE)="","",VLOOKUP(D33,SKUs!$A$2:$G$34,7,FALSE)),"")</f>
        <v/>
      </c>
      <c r="L33" s="9">
        <f>IF(K33="","",ROUND(K33*(1-F33),2))</f>
        <v/>
      </c>
      <c r="M33" s="13" t="n"/>
      <c r="N33" s="13" t="n"/>
    </row>
    <row r="34">
      <c r="A34" s="8" t="inlineStr">
        <is>
          <t>Semanas 1–3 (Embutir, contínuo)</t>
        </is>
      </c>
      <c r="B34" s="11" t="n">
        <v>46327</v>
      </c>
      <c r="C34" s="11" t="n">
        <v>46348</v>
      </c>
      <c r="D34" s="8" t="inlineStr">
        <is>
          <t>EMB-08</t>
        </is>
      </c>
      <c r="E34" s="8" t="inlineStr">
        <is>
          <t>Queima</t>
        </is>
      </c>
      <c r="F34" s="12" t="n">
        <v>0.08</v>
      </c>
      <c r="G34" s="9">
        <f>IFERROR(IF(VLOOKUP(D34,SKUs!$A$2:$G$34,6,FALSE)="","",VLOOKUP(D34,SKUs!$A$2:$G$34,6,FALSE)),"")</f>
        <v/>
      </c>
      <c r="H34" s="9">
        <f>IF(G34="","",ROUND(G34*(1-F34),2))</f>
        <v/>
      </c>
      <c r="I34" s="13" t="n"/>
      <c r="J34" s="13" t="n"/>
      <c r="K34" s="9">
        <f>IFERROR(IF(VLOOKUP(D34,SKUs!$A$2:$G$34,7,FALSE)="","",VLOOKUP(D34,SKUs!$A$2:$G$34,7,FALSE)),"")</f>
        <v/>
      </c>
      <c r="L34" s="9">
        <f>IF(K34="","",ROUND(K34*(1-F34),2))</f>
        <v/>
      </c>
      <c r="M34" s="13" t="n"/>
      <c r="N34" s="13" t="n"/>
    </row>
    <row r="35">
      <c r="A35" s="8" t="inlineStr">
        <is>
          <t>Semana Black Winnet</t>
        </is>
      </c>
      <c r="B35" s="11" t="n">
        <v>46349</v>
      </c>
      <c r="C35" s="11" t="n">
        <v>46352</v>
      </c>
      <c r="D35" s="8" t="inlineStr">
        <is>
          <t>PL-SD</t>
        </is>
      </c>
      <c r="E35" s="8" t="inlineStr">
        <is>
          <t>C</t>
        </is>
      </c>
      <c r="F35" s="12" t="n">
        <v>0.07000000000000001</v>
      </c>
      <c r="G35" s="9">
        <f>IFERROR(IF(VLOOKUP(D35,SKUs!$A$2:$G$34,6,FALSE)="","",VLOOKUP(D35,SKUs!$A$2:$G$34,6,FALSE)),"")</f>
        <v/>
      </c>
      <c r="H35" s="9">
        <f>IF(G35="","",ROUND(G35*(1-F35),2))</f>
        <v/>
      </c>
      <c r="I35" s="13" t="n"/>
      <c r="J35" s="13" t="n"/>
      <c r="K35" s="9">
        <f>IFERROR(IF(VLOOKUP(D35,SKUs!$A$2:$G$34,7,FALSE)="","",VLOOKUP(D35,SKUs!$A$2:$G$34,7,FALSE)),"")</f>
        <v/>
      </c>
      <c r="L35" s="9">
        <f>IF(K35="","",ROUND(K35*(1-F35),2))</f>
        <v/>
      </c>
      <c r="M35" s="13" t="n"/>
      <c r="N35" s="13" t="n"/>
    </row>
    <row r="36">
      <c r="A36" s="8" t="inlineStr">
        <is>
          <t>Semana Black Winnet</t>
        </is>
      </c>
      <c r="B36" s="11" t="n">
        <v>46349</v>
      </c>
      <c r="C36" s="11" t="n">
        <v>46352</v>
      </c>
      <c r="D36" s="8" t="inlineStr">
        <is>
          <t>PQ-4070</t>
        </is>
      </c>
      <c r="E36" s="8" t="inlineStr">
        <is>
          <t>C</t>
        </is>
      </c>
      <c r="F36" s="12" t="n">
        <v>0.07000000000000001</v>
      </c>
      <c r="G36" s="9">
        <f>IFERROR(IF(VLOOKUP(D36,SKUs!$A$2:$G$34,6,FALSE)="","",VLOOKUP(D36,SKUs!$A$2:$G$34,6,FALSE)),"")</f>
        <v/>
      </c>
      <c r="H36" s="9">
        <f>IF(G36="","",ROUND(G36*(1-F36),2))</f>
        <v/>
      </c>
      <c r="I36" s="13" t="n"/>
      <c r="J36" s="13" t="n"/>
      <c r="K36" s="9">
        <f>IFERROR(IF(VLOOKUP(D36,SKUs!$A$2:$G$34,7,FALSE)="","",VLOOKUP(D36,SKUs!$A$2:$G$34,7,FALSE)),"")</f>
        <v/>
      </c>
      <c r="L36" s="9">
        <f>IF(K36="","",ROUND(K36*(1-F36),2))</f>
        <v/>
      </c>
      <c r="M36" s="13" t="n"/>
      <c r="N36" s="13" t="n"/>
    </row>
    <row r="37">
      <c r="A37" s="8" t="inlineStr">
        <is>
          <t>Semana Black Winnet</t>
        </is>
      </c>
      <c r="B37" s="11" t="n">
        <v>46349</v>
      </c>
      <c r="C37" s="11" t="n">
        <v>46352</v>
      </c>
      <c r="D37" s="8" t="inlineStr">
        <is>
          <t>L4070-B</t>
        </is>
      </c>
      <c r="E37" s="8" t="inlineStr">
        <is>
          <t>C</t>
        </is>
      </c>
      <c r="F37" s="12" t="n">
        <v>0.07000000000000001</v>
      </c>
      <c r="G37" s="9">
        <f>IFERROR(IF(VLOOKUP(D37,SKUs!$A$2:$G$34,6,FALSE)="","",VLOOKUP(D37,SKUs!$A$2:$G$34,6,FALSE)),"")</f>
        <v/>
      </c>
      <c r="H37" s="9">
        <f>IF(G37="","",ROUND(G37*(1-F37),2))</f>
        <v/>
      </c>
      <c r="I37" s="13" t="n"/>
      <c r="J37" s="13" t="n"/>
      <c r="K37" s="9">
        <f>IFERROR(IF(VLOOKUP(D37,SKUs!$A$2:$G$34,7,FALSE)="","",VLOOKUP(D37,SKUs!$A$2:$G$34,7,FALSE)),"")</f>
        <v/>
      </c>
      <c r="L37" s="9">
        <f>IF(K37="","",ROUND(K37*(1-F37),2))</f>
        <v/>
      </c>
      <c r="M37" s="13" t="n"/>
      <c r="N37" s="13" t="n"/>
    </row>
    <row r="38">
      <c r="A38" s="8" t="inlineStr">
        <is>
          <t>Semana Black Winnet</t>
        </is>
      </c>
      <c r="B38" s="11" t="n">
        <v>46349</v>
      </c>
      <c r="C38" s="11" t="n">
        <v>46352</v>
      </c>
      <c r="D38" s="8" t="inlineStr">
        <is>
          <t>L3060-CP</t>
        </is>
      </c>
      <c r="E38" s="8" t="inlineStr">
        <is>
          <t>C</t>
        </is>
      </c>
      <c r="F38" s="12" t="n">
        <v>0.07000000000000001</v>
      </c>
      <c r="G38" s="9">
        <f>IFERROR(IF(VLOOKUP(D38,SKUs!$A$2:$G$34,6,FALSE)="","",VLOOKUP(D38,SKUs!$A$2:$G$34,6,FALSE)),"")</f>
        <v/>
      </c>
      <c r="H38" s="9">
        <f>IF(G38="","",ROUND(G38*(1-F38),2))</f>
        <v/>
      </c>
      <c r="I38" s="13" t="n"/>
      <c r="J38" s="13" t="n"/>
      <c r="K38" s="9">
        <f>IFERROR(IF(VLOOKUP(D38,SKUs!$A$2:$G$34,7,FALSE)="","",VLOOKUP(D38,SKUs!$A$2:$G$34,7,FALSE)),"")</f>
        <v/>
      </c>
      <c r="L38" s="9">
        <f>IF(K38="","",ROUND(K38*(1-F38),2))</f>
        <v/>
      </c>
      <c r="M38" s="13" t="n"/>
      <c r="N38" s="13" t="n"/>
    </row>
    <row r="39">
      <c r="A39" s="8" t="inlineStr">
        <is>
          <t>Semana Black Winnet</t>
        </is>
      </c>
      <c r="B39" s="11" t="n">
        <v>46349</v>
      </c>
      <c r="C39" s="11" t="n">
        <v>46352</v>
      </c>
      <c r="D39" s="8" t="inlineStr">
        <is>
          <t>P3060RA</t>
        </is>
      </c>
      <c r="E39" s="8" t="inlineStr">
        <is>
          <t>B</t>
        </is>
      </c>
      <c r="F39" s="12" t="n">
        <v>0.06</v>
      </c>
      <c r="G39" s="9">
        <f>IFERROR(IF(VLOOKUP(D39,SKUs!$A$2:$G$34,6,FALSE)="","",VLOOKUP(D39,SKUs!$A$2:$G$34,6,FALSE)),"")</f>
        <v/>
      </c>
      <c r="H39" s="9">
        <f>IF(G39="","",ROUND(G39*(1-F39),2))</f>
        <v/>
      </c>
      <c r="I39" s="13" t="n"/>
      <c r="J39" s="13" t="n"/>
      <c r="K39" s="9">
        <f>IFERROR(IF(VLOOKUP(D39,SKUs!$A$2:$G$34,7,FALSE)="","",VLOOKUP(D39,SKUs!$A$2:$G$34,7,FALSE)),"")</f>
        <v/>
      </c>
      <c r="L39" s="9">
        <f>IF(K39="","",ROUND(K39*(1-F39),2))</f>
        <v/>
      </c>
      <c r="M39" s="13" t="n"/>
      <c r="N39" s="13" t="n"/>
    </row>
    <row r="40">
      <c r="A40" s="8" t="inlineStr">
        <is>
          <t>Semana Black Winnet</t>
        </is>
      </c>
      <c r="B40" s="11" t="n">
        <v>46349</v>
      </c>
      <c r="C40" s="11" t="n">
        <v>46352</v>
      </c>
      <c r="D40" s="8" t="inlineStr">
        <is>
          <t>P4080RA</t>
        </is>
      </c>
      <c r="E40" s="8" t="inlineStr">
        <is>
          <t>B</t>
        </is>
      </c>
      <c r="F40" s="12" t="n">
        <v>0.06</v>
      </c>
      <c r="G40" s="9">
        <f>IFERROR(IF(VLOOKUP(D40,SKUs!$A$2:$G$34,6,FALSE)="","",VLOOKUP(D40,SKUs!$A$2:$G$34,6,FALSE)),"")</f>
        <v/>
      </c>
      <c r="H40" s="9">
        <f>IF(G40="","",ROUND(G40*(1-F40),2))</f>
        <v/>
      </c>
      <c r="I40" s="13" t="n"/>
      <c r="J40" s="13" t="n"/>
      <c r="K40" s="9">
        <f>IFERROR(IF(VLOOKUP(D40,SKUs!$A$2:$G$34,7,FALSE)="","",VLOOKUP(D40,SKUs!$A$2:$G$34,7,FALSE)),"")</f>
        <v/>
      </c>
      <c r="L40" s="9">
        <f>IF(K40="","",ROUND(K40*(1-F40),2))</f>
        <v/>
      </c>
      <c r="M40" s="13" t="n"/>
      <c r="N40" s="13" t="n"/>
    </row>
    <row r="41">
      <c r="A41" s="8" t="inlineStr">
        <is>
          <t>Semana Black Winnet</t>
        </is>
      </c>
      <c r="B41" s="11" t="n">
        <v>46349</v>
      </c>
      <c r="C41" s="11" t="n">
        <v>46352</v>
      </c>
      <c r="D41" s="8" t="inlineStr">
        <is>
          <t>EGC</t>
        </is>
      </c>
      <c r="E41" s="8" t="inlineStr">
        <is>
          <t>B</t>
        </is>
      </c>
      <c r="F41" s="12" t="n">
        <v>0.06</v>
      </c>
      <c r="G41" s="9">
        <f>IFERROR(IF(VLOOKUP(D41,SKUs!$A$2:$G$34,6,FALSE)="","",VLOOKUP(D41,SKUs!$A$2:$G$34,6,FALSE)),"")</f>
        <v/>
      </c>
      <c r="H41" s="9">
        <f>IF(G41="","",ROUND(G41*(1-F41),2))</f>
        <v/>
      </c>
      <c r="I41" s="13" t="n"/>
      <c r="J41" s="13" t="n"/>
      <c r="K41" s="9">
        <f>IFERROR(IF(VLOOKUP(D41,SKUs!$A$2:$G$34,7,FALSE)="","",VLOOKUP(D41,SKUs!$A$2:$G$34,7,FALSE)),"")</f>
        <v/>
      </c>
      <c r="L41" s="9">
        <f>IF(K41="","",ROUND(K41*(1-F41),2))</f>
        <v/>
      </c>
      <c r="M41" s="13" t="n"/>
      <c r="N41" s="13" t="n"/>
    </row>
    <row r="42">
      <c r="A42" s="8" t="inlineStr">
        <is>
          <t>Semana Black Winnet</t>
        </is>
      </c>
      <c r="B42" s="11" t="n">
        <v>46349</v>
      </c>
      <c r="C42" s="11" t="n">
        <v>46352</v>
      </c>
      <c r="D42" s="8" t="inlineStr">
        <is>
          <t>P4070</t>
        </is>
      </c>
      <c r="E42" s="8" t="inlineStr">
        <is>
          <t>B</t>
        </is>
      </c>
      <c r="F42" s="12" t="n">
        <v>0.06</v>
      </c>
      <c r="G42" s="9">
        <f>IFERROR(IF(VLOOKUP(D42,SKUs!$A$2:$G$34,6,FALSE)="","",VLOOKUP(D42,SKUs!$A$2:$G$34,6,FALSE)),"")</f>
        <v/>
      </c>
      <c r="H42" s="9">
        <f>IF(G42="","",ROUND(G42*(1-F42),2))</f>
        <v/>
      </c>
      <c r="I42" s="13" t="n"/>
      <c r="J42" s="13" t="n"/>
      <c r="K42" s="9">
        <f>IFERROR(IF(VLOOKUP(D42,SKUs!$A$2:$G$34,7,FALSE)="","",VLOOKUP(D42,SKUs!$A$2:$G$34,7,FALSE)),"")</f>
        <v/>
      </c>
      <c r="L42" s="9">
        <f>IF(K42="","",ROUND(K42*(1-F42),2))</f>
        <v/>
      </c>
      <c r="M42" s="13" t="n"/>
      <c r="N42" s="13" t="n"/>
    </row>
    <row r="43">
      <c r="A43" s="8" t="inlineStr">
        <is>
          <t>Semana Black Winnet</t>
        </is>
      </c>
      <c r="B43" s="11" t="n">
        <v>46349</v>
      </c>
      <c r="C43" s="11" t="n">
        <v>46352</v>
      </c>
      <c r="D43" s="8" t="inlineStr">
        <is>
          <t>L2440-B</t>
        </is>
      </c>
      <c r="E43" s="8" t="inlineStr">
        <is>
          <t>B</t>
        </is>
      </c>
      <c r="F43" s="12" t="n">
        <v>0.06</v>
      </c>
      <c r="G43" s="9">
        <f>IFERROR(IF(VLOOKUP(D43,SKUs!$A$2:$G$34,6,FALSE)="","",VLOOKUP(D43,SKUs!$A$2:$G$34,6,FALSE)),"")</f>
        <v/>
      </c>
      <c r="H43" s="9">
        <f>IF(G43="","",ROUND(G43*(1-F43),2))</f>
        <v/>
      </c>
      <c r="I43" s="13" t="n"/>
      <c r="J43" s="13" t="n"/>
      <c r="K43" s="9">
        <f>IFERROR(IF(VLOOKUP(D43,SKUs!$A$2:$G$34,7,FALSE)="","",VLOOKUP(D43,SKUs!$A$2:$G$34,7,FALSE)),"")</f>
        <v/>
      </c>
      <c r="L43" s="9">
        <f>IF(K43="","",ROUND(K43*(1-F43),2))</f>
        <v/>
      </c>
      <c r="M43" s="13" t="n"/>
      <c r="N43" s="13" t="n"/>
    </row>
    <row r="44">
      <c r="A44" s="8" t="inlineStr">
        <is>
          <t>Semana Black Winnet</t>
        </is>
      </c>
      <c r="B44" s="11" t="n">
        <v>46349</v>
      </c>
      <c r="C44" s="11" t="n">
        <v>46352</v>
      </c>
      <c r="D44" s="8" t="inlineStr">
        <is>
          <t>L2430-B</t>
        </is>
      </c>
      <c r="E44" s="8" t="inlineStr">
        <is>
          <t>B</t>
        </is>
      </c>
      <c r="F44" s="12" t="n">
        <v>0.06</v>
      </c>
      <c r="G44" s="9">
        <f>IFERROR(IF(VLOOKUP(D44,SKUs!$A$2:$G$34,6,FALSE)="","",VLOOKUP(D44,SKUs!$A$2:$G$34,6,FALSE)),"")</f>
        <v/>
      </c>
      <c r="H44" s="9">
        <f>IF(G44="","",ROUND(G44*(1-F44),2))</f>
        <v/>
      </c>
      <c r="I44" s="13" t="n"/>
      <c r="J44" s="13" t="n"/>
      <c r="K44" s="9">
        <f>IFERROR(IF(VLOOKUP(D44,SKUs!$A$2:$G$34,7,FALSE)="","",VLOOKUP(D44,SKUs!$A$2:$G$34,7,FALSE)),"")</f>
        <v/>
      </c>
      <c r="L44" s="9">
        <f>IF(K44="","",ROUND(K44*(1-F44),2))</f>
        <v/>
      </c>
      <c r="M44" s="13" t="n"/>
      <c r="N44" s="13" t="n"/>
    </row>
    <row r="45">
      <c r="A45" s="8" t="inlineStr">
        <is>
          <t>Semana Black Winnet</t>
        </is>
      </c>
      <c r="B45" s="11" t="n">
        <v>46349</v>
      </c>
      <c r="C45" s="11" t="n">
        <v>46352</v>
      </c>
      <c r="D45" s="8" t="inlineStr">
        <is>
          <t>L2430-A</t>
        </is>
      </c>
      <c r="E45" s="8" t="inlineStr">
        <is>
          <t>B</t>
        </is>
      </c>
      <c r="F45" s="12" t="n">
        <v>0.06</v>
      </c>
      <c r="G45" s="9">
        <f>IFERROR(IF(VLOOKUP(D45,SKUs!$A$2:$G$34,6,FALSE)="","",VLOOKUP(D45,SKUs!$A$2:$G$34,6,FALSE)),"")</f>
        <v/>
      </c>
      <c r="H45" s="9">
        <f>IF(G45="","",ROUND(G45*(1-F45),2))</f>
        <v/>
      </c>
      <c r="I45" s="13" t="n"/>
      <c r="J45" s="13" t="n"/>
      <c r="K45" s="9">
        <f>IFERROR(IF(VLOOKUP(D45,SKUs!$A$2:$G$34,7,FALSE)="","",VLOOKUP(D45,SKUs!$A$2:$G$34,7,FALSE)),"")</f>
        <v/>
      </c>
      <c r="L45" s="9">
        <f>IF(K45="","",ROUND(K45*(1-F45),2))</f>
        <v/>
      </c>
      <c r="M45" s="13" t="n"/>
      <c r="N45" s="13" t="n"/>
    </row>
    <row r="46">
      <c r="A46" s="8" t="inlineStr">
        <is>
          <t>Semana Black Winnet</t>
        </is>
      </c>
      <c r="B46" s="11" t="n">
        <v>46349</v>
      </c>
      <c r="C46" s="11" t="n">
        <v>46352</v>
      </c>
      <c r="D46" s="8" t="inlineStr">
        <is>
          <t>L2450-A</t>
        </is>
      </c>
      <c r="E46" s="8" t="inlineStr">
        <is>
          <t>B</t>
        </is>
      </c>
      <c r="F46" s="12" t="n">
        <v>0.06</v>
      </c>
      <c r="G46" s="9">
        <f>IFERROR(IF(VLOOKUP(D46,SKUs!$A$2:$G$34,6,FALSE)="","",VLOOKUP(D46,SKUs!$A$2:$G$34,6,FALSE)),"")</f>
        <v/>
      </c>
      <c r="H46" s="9">
        <f>IF(G46="","",ROUND(G46*(1-F46),2))</f>
        <v/>
      </c>
      <c r="I46" s="13" t="n"/>
      <c r="J46" s="13" t="n"/>
      <c r="K46" s="9">
        <f>IFERROR(IF(VLOOKUP(D46,SKUs!$A$2:$G$34,7,FALSE)="","",VLOOKUP(D46,SKUs!$A$2:$G$34,7,FALSE)),"")</f>
        <v/>
      </c>
      <c r="L46" s="9">
        <f>IF(K46="","",ROUND(K46*(1-F46),2))</f>
        <v/>
      </c>
      <c r="M46" s="13" t="n"/>
      <c r="N46" s="13" t="n"/>
    </row>
    <row r="47">
      <c r="A47" s="8" t="inlineStr">
        <is>
          <t>Semana Black Winnet</t>
        </is>
      </c>
      <c r="B47" s="11" t="n">
        <v>46349</v>
      </c>
      <c r="C47" s="11" t="n">
        <v>46352</v>
      </c>
      <c r="D47" s="8" t="inlineStr">
        <is>
          <t>P2025</t>
        </is>
      </c>
      <c r="E47" s="8" t="inlineStr">
        <is>
          <t>B</t>
        </is>
      </c>
      <c r="F47" s="12" t="n">
        <v>0.06</v>
      </c>
      <c r="G47" s="9">
        <f>IFERROR(IF(VLOOKUP(D47,SKUs!$A$2:$G$34,6,FALSE)="","",VLOOKUP(D47,SKUs!$A$2:$G$34,6,FALSE)),"")</f>
        <v/>
      </c>
      <c r="H47" s="9">
        <f>IF(G47="","",ROUND(G47*(1-F47),2))</f>
        <v/>
      </c>
      <c r="I47" s="13" t="n"/>
      <c r="J47" s="13" t="n"/>
      <c r="K47" s="9">
        <f>IFERROR(IF(VLOOKUP(D47,SKUs!$A$2:$G$34,7,FALSE)="","",VLOOKUP(D47,SKUs!$A$2:$G$34,7,FALSE)),"")</f>
        <v/>
      </c>
      <c r="L47" s="9">
        <f>IF(K47="","",ROUND(K47*(1-F47),2))</f>
        <v/>
      </c>
      <c r="M47" s="13" t="n"/>
      <c r="N47" s="13" t="n"/>
    </row>
    <row r="48">
      <c r="A48" s="8" t="inlineStr">
        <is>
          <t>Semana Black Winnet</t>
        </is>
      </c>
      <c r="B48" s="11" t="n">
        <v>46349</v>
      </c>
      <c r="C48" s="11" t="n">
        <v>46352</v>
      </c>
      <c r="D48" s="8" t="inlineStr">
        <is>
          <t>SP-F</t>
        </is>
      </c>
      <c r="E48" s="8" t="inlineStr">
        <is>
          <t>B</t>
        </is>
      </c>
      <c r="F48" s="12" t="n">
        <v>0.06</v>
      </c>
      <c r="G48" s="9">
        <f>IFERROR(IF(VLOOKUP(D48,SKUs!$A$2:$G$34,6,FALSE)="","",VLOOKUP(D48,SKUs!$A$2:$G$34,6,FALSE)),"")</f>
        <v/>
      </c>
      <c r="H48" s="9">
        <f>IF(G48="","",ROUND(G48*(1-F48),2))</f>
        <v/>
      </c>
      <c r="I48" s="13" t="n"/>
      <c r="J48" s="13" t="n"/>
      <c r="K48" s="9">
        <f>IFERROR(IF(VLOOKUP(D48,SKUs!$A$2:$G$34,7,FALSE)="","",VLOOKUP(D48,SKUs!$A$2:$G$34,7,FALSE)),"")</f>
        <v/>
      </c>
      <c r="L48" s="9">
        <f>IF(K48="","",ROUND(K48*(1-F48),2))</f>
        <v/>
      </c>
      <c r="M48" s="13" t="n"/>
      <c r="N48" s="13" t="n"/>
    </row>
    <row r="49">
      <c r="A49" s="8" t="inlineStr">
        <is>
          <t>Semana Black Winnet</t>
        </is>
      </c>
      <c r="B49" s="11" t="n">
        <v>46349</v>
      </c>
      <c r="C49" s="11" t="n">
        <v>46352</v>
      </c>
      <c r="D49" s="8" t="inlineStr">
        <is>
          <t>SP-T</t>
        </is>
      </c>
      <c r="E49" s="8" t="inlineStr">
        <is>
          <t>B</t>
        </is>
      </c>
      <c r="F49" s="12" t="n">
        <v>0.06</v>
      </c>
      <c r="G49" s="9">
        <f>IFERROR(IF(VLOOKUP(D49,SKUs!$A$2:$G$34,6,FALSE)="","",VLOOKUP(D49,SKUs!$A$2:$G$34,6,FALSE)),"")</f>
        <v/>
      </c>
      <c r="H49" s="9">
        <f>IF(G49="","",ROUND(G49*(1-F49),2))</f>
        <v/>
      </c>
      <c r="I49" s="13" t="n"/>
      <c r="J49" s="13" t="n"/>
      <c r="K49" s="9">
        <f>IFERROR(IF(VLOOKUP(D49,SKUs!$A$2:$G$34,7,FALSE)="","",VLOOKUP(D49,SKUs!$A$2:$G$34,7,FALSE)),"")</f>
        <v/>
      </c>
      <c r="L49" s="9">
        <f>IF(K49="","",ROUND(K49*(1-F49),2))</f>
        <v/>
      </c>
      <c r="M49" s="13" t="n"/>
      <c r="N49" s="13" t="n"/>
    </row>
    <row r="50">
      <c r="A50" s="8" t="inlineStr">
        <is>
          <t>Semana Black Winnet</t>
        </is>
      </c>
      <c r="B50" s="11" t="n">
        <v>46349</v>
      </c>
      <c r="C50" s="11" t="n">
        <v>46352</v>
      </c>
      <c r="D50" s="8" t="inlineStr">
        <is>
          <t>PG3070</t>
        </is>
      </c>
      <c r="E50" s="8" t="inlineStr">
        <is>
          <t>B</t>
        </is>
      </c>
      <c r="F50" s="12" t="n">
        <v>0.06</v>
      </c>
      <c r="G50" s="9">
        <f>IFERROR(IF(VLOOKUP(D50,SKUs!$A$2:$G$34,6,FALSE)="","",VLOOKUP(D50,SKUs!$A$2:$G$34,6,FALSE)),"")</f>
        <v/>
      </c>
      <c r="H50" s="9">
        <f>IF(G50="","",ROUND(G50*(1-F50),2))</f>
        <v/>
      </c>
      <c r="I50" s="13" t="n"/>
      <c r="J50" s="13" t="n"/>
      <c r="K50" s="9">
        <f>IFERROR(IF(VLOOKUP(D50,SKUs!$A$2:$G$34,7,FALSE)="","",VLOOKUP(D50,SKUs!$A$2:$G$34,7,FALSE)),"")</f>
        <v/>
      </c>
      <c r="L50" s="9">
        <f>IF(K50="","",ROUND(K50*(1-F50),2))</f>
        <v/>
      </c>
      <c r="M50" s="13" t="n"/>
      <c r="N50" s="13" t="n"/>
    </row>
    <row r="51">
      <c r="A51" s="8" t="inlineStr">
        <is>
          <t>Semana Black Winnet</t>
        </is>
      </c>
      <c r="B51" s="11" t="n">
        <v>46349</v>
      </c>
      <c r="C51" s="11" t="n">
        <v>46352</v>
      </c>
      <c r="D51" s="8" t="inlineStr">
        <is>
          <t>PQ-3060</t>
        </is>
      </c>
      <c r="E51" s="8" t="inlineStr">
        <is>
          <t>B</t>
        </is>
      </c>
      <c r="F51" s="12" t="n">
        <v>0.06</v>
      </c>
      <c r="G51" s="9">
        <f>IFERROR(IF(VLOOKUP(D51,SKUs!$A$2:$G$34,6,FALSE)="","",VLOOKUP(D51,SKUs!$A$2:$G$34,6,FALSE)),"")</f>
        <v/>
      </c>
      <c r="H51" s="9">
        <f>IF(G51="","",ROUND(G51*(1-F51),2))</f>
        <v/>
      </c>
      <c r="I51" s="13" t="n"/>
      <c r="J51" s="13" t="n"/>
      <c r="K51" s="9">
        <f>IFERROR(IF(VLOOKUP(D51,SKUs!$A$2:$G$34,7,FALSE)="","",VLOOKUP(D51,SKUs!$A$2:$G$34,7,FALSE)),"")</f>
        <v/>
      </c>
      <c r="L51" s="9">
        <f>IF(K51="","",ROUND(K51*(1-F51),2))</f>
        <v/>
      </c>
      <c r="M51" s="13" t="n"/>
      <c r="N51" s="13" t="n"/>
    </row>
    <row r="52">
      <c r="A52" s="8" t="inlineStr">
        <is>
          <t>Semana Black Winnet</t>
        </is>
      </c>
      <c r="B52" s="11" t="n">
        <v>46349</v>
      </c>
      <c r="C52" s="11" t="n">
        <v>46352</v>
      </c>
      <c r="D52" s="8" t="inlineStr">
        <is>
          <t>PXP</t>
        </is>
      </c>
      <c r="E52" s="8" t="inlineStr">
        <is>
          <t>A</t>
        </is>
      </c>
      <c r="F52" s="12" t="n">
        <v>0.03</v>
      </c>
      <c r="G52" s="9">
        <f>IFERROR(IF(VLOOKUP(D52,SKUs!$A$2:$G$34,6,FALSE)="","",VLOOKUP(D52,SKUs!$A$2:$G$34,6,FALSE)),"")</f>
        <v/>
      </c>
      <c r="H52" s="9">
        <f>IF(G52="","",ROUND(G52*(1-F52),2))</f>
        <v/>
      </c>
      <c r="I52" s="13" t="n"/>
      <c r="J52" s="13" t="n"/>
      <c r="K52" s="9">
        <f>IFERROR(IF(VLOOKUP(D52,SKUs!$A$2:$G$34,7,FALSE)="","",VLOOKUP(D52,SKUs!$A$2:$G$34,7,FALSE)),"")</f>
        <v/>
      </c>
      <c r="L52" s="9">
        <f>IF(K52="","",ROUND(K52*(1-F52),2))</f>
        <v/>
      </c>
      <c r="M52" s="13" t="n"/>
      <c r="N52" s="13" t="n"/>
    </row>
    <row r="53">
      <c r="A53" s="8" t="inlineStr">
        <is>
          <t>Semana Black Winnet</t>
        </is>
      </c>
      <c r="B53" s="11" t="n">
        <v>46349</v>
      </c>
      <c r="C53" s="11" t="n">
        <v>46352</v>
      </c>
      <c r="D53" s="8" t="inlineStr">
        <is>
          <t>PXM</t>
        </is>
      </c>
      <c r="E53" s="8" t="inlineStr">
        <is>
          <t>A</t>
        </is>
      </c>
      <c r="F53" s="12" t="n">
        <v>0.03</v>
      </c>
      <c r="G53" s="9">
        <f>IFERROR(IF(VLOOKUP(D53,SKUs!$A$2:$G$34,6,FALSE)="","",VLOOKUP(D53,SKUs!$A$2:$G$34,6,FALSE)),"")</f>
        <v/>
      </c>
      <c r="H53" s="9">
        <f>IF(G53="","",ROUND(G53*(1-F53),2))</f>
        <v/>
      </c>
      <c r="I53" s="13" t="n"/>
      <c r="J53" s="13" t="n"/>
      <c r="K53" s="9">
        <f>IFERROR(IF(VLOOKUP(D53,SKUs!$A$2:$G$34,7,FALSE)="","",VLOOKUP(D53,SKUs!$A$2:$G$34,7,FALSE)),"")</f>
        <v/>
      </c>
      <c r="L53" s="9">
        <f>IF(K53="","",ROUND(K53*(1-F53),2))</f>
        <v/>
      </c>
      <c r="M53" s="13" t="n"/>
      <c r="N53" s="13" t="n"/>
    </row>
    <row r="54">
      <c r="A54" s="8" t="inlineStr">
        <is>
          <t>Semana Black Winnet</t>
        </is>
      </c>
      <c r="B54" s="11" t="n">
        <v>46349</v>
      </c>
      <c r="C54" s="11" t="n">
        <v>46352</v>
      </c>
      <c r="D54" s="8" t="inlineStr">
        <is>
          <t>SP-01</t>
        </is>
      </c>
      <c r="E54" s="8" t="inlineStr">
        <is>
          <t>A</t>
        </is>
      </c>
      <c r="F54" s="12" t="n">
        <v>0.03</v>
      </c>
      <c r="G54" s="9">
        <f>IFERROR(IF(VLOOKUP(D54,SKUs!$A$2:$G$34,6,FALSE)="","",VLOOKUP(D54,SKUs!$A$2:$G$34,6,FALSE)),"")</f>
        <v/>
      </c>
      <c r="H54" s="9">
        <f>IF(G54="","",ROUND(G54*(1-F54),2))</f>
        <v/>
      </c>
      <c r="I54" s="13" t="n"/>
      <c r="J54" s="13" t="n"/>
      <c r="K54" s="9">
        <f>IFERROR(IF(VLOOKUP(D54,SKUs!$A$2:$G$34,7,FALSE)="","",VLOOKUP(D54,SKUs!$A$2:$G$34,7,FALSE)),"")</f>
        <v/>
      </c>
      <c r="L54" s="9">
        <f>IF(K54="","",ROUND(K54*(1-F54),2))</f>
        <v/>
      </c>
      <c r="M54" s="13" t="n"/>
      <c r="N54" s="13" t="n"/>
    </row>
    <row r="55">
      <c r="A55" s="8" t="inlineStr">
        <is>
          <t>Semana Black Winnet</t>
        </is>
      </c>
      <c r="B55" s="11" t="n">
        <v>46349</v>
      </c>
      <c r="C55" s="11" t="n">
        <v>46352</v>
      </c>
      <c r="D55" s="8" t="inlineStr">
        <is>
          <t>P3060</t>
        </is>
      </c>
      <c r="E55" s="8" t="inlineStr">
        <is>
          <t>A</t>
        </is>
      </c>
      <c r="F55" s="12" t="n">
        <v>0.03</v>
      </c>
      <c r="G55" s="9">
        <f>IFERROR(IF(VLOOKUP(D55,SKUs!$A$2:$G$34,6,FALSE)="","",VLOOKUP(D55,SKUs!$A$2:$G$34,6,FALSE)),"")</f>
        <v/>
      </c>
      <c r="H55" s="9">
        <f>IF(G55="","",ROUND(G55*(1-F55),2))</f>
        <v/>
      </c>
      <c r="I55" s="13" t="n"/>
      <c r="J55" s="13" t="n"/>
      <c r="K55" s="9">
        <f>IFERROR(IF(VLOOKUP(D55,SKUs!$A$2:$G$34,7,FALSE)="","",VLOOKUP(D55,SKUs!$A$2:$G$34,7,FALSE)),"")</f>
        <v/>
      </c>
      <c r="L55" s="9">
        <f>IF(K55="","",ROUND(K55*(1-F55),2))</f>
        <v/>
      </c>
      <c r="M55" s="13" t="n"/>
      <c r="N55" s="13" t="n"/>
    </row>
    <row r="56">
      <c r="A56" s="8" t="inlineStr">
        <is>
          <t>Semana Black Winnet</t>
        </is>
      </c>
      <c r="B56" s="11" t="n">
        <v>46349</v>
      </c>
      <c r="C56" s="11" t="n">
        <v>46352</v>
      </c>
      <c r="D56" s="8" t="inlineStr">
        <is>
          <t>P4080</t>
        </is>
      </c>
      <c r="E56" s="8" t="inlineStr">
        <is>
          <t>A</t>
        </is>
      </c>
      <c r="F56" s="12" t="n">
        <v>0.03</v>
      </c>
      <c r="G56" s="9">
        <f>IFERROR(IF(VLOOKUP(D56,SKUs!$A$2:$G$34,6,FALSE)="","",VLOOKUP(D56,SKUs!$A$2:$G$34,6,FALSE)),"")</f>
        <v/>
      </c>
      <c r="H56" s="9">
        <f>IF(G56="","",ROUND(G56*(1-F56),2))</f>
        <v/>
      </c>
      <c r="I56" s="13" t="n"/>
      <c r="J56" s="13" t="n"/>
      <c r="K56" s="9">
        <f>IFERROR(IF(VLOOKUP(D56,SKUs!$A$2:$G$34,7,FALSE)="","",VLOOKUP(D56,SKUs!$A$2:$G$34,7,FALSE)),"")</f>
        <v/>
      </c>
      <c r="L56" s="9">
        <f>IF(K56="","",ROUND(K56*(1-F56),2))</f>
        <v/>
      </c>
      <c r="M56" s="13" t="n"/>
      <c r="N56" s="13" t="n"/>
    </row>
    <row r="57">
      <c r="A57" s="8" t="inlineStr">
        <is>
          <t>Semana Black Winnet</t>
        </is>
      </c>
      <c r="B57" s="11" t="n">
        <v>46349</v>
      </c>
      <c r="C57" s="11" t="n">
        <v>46352</v>
      </c>
      <c r="D57" s="8" t="inlineStr">
        <is>
          <t>P3070</t>
        </is>
      </c>
      <c r="E57" s="8" t="inlineStr">
        <is>
          <t>A</t>
        </is>
      </c>
      <c r="F57" s="12" t="n">
        <v>0.03</v>
      </c>
      <c r="G57" s="9">
        <f>IFERROR(IF(VLOOKUP(D57,SKUs!$A$2:$G$34,6,FALSE)="","",VLOOKUP(D57,SKUs!$A$2:$G$34,6,FALSE)),"")</f>
        <v/>
      </c>
      <c r="H57" s="9">
        <f>IF(G57="","",ROUND(G57*(1-F57),2))</f>
        <v/>
      </c>
      <c r="I57" s="13" t="n"/>
      <c r="J57" s="13" t="n"/>
      <c r="K57" s="9">
        <f>IFERROR(IF(VLOOKUP(D57,SKUs!$A$2:$G$34,7,FALSE)="","",VLOOKUP(D57,SKUs!$A$2:$G$34,7,FALSE)),"")</f>
        <v/>
      </c>
      <c r="L57" s="9">
        <f>IF(K57="","",ROUND(K57*(1-F57),2))</f>
        <v/>
      </c>
      <c r="M57" s="13" t="n"/>
      <c r="N57" s="13" t="n"/>
    </row>
    <row r="58">
      <c r="A58" s="8" t="inlineStr">
        <is>
          <t>Semana Black Winnet</t>
        </is>
      </c>
      <c r="B58" s="11" t="n">
        <v>46349</v>
      </c>
      <c r="C58" s="11" t="n">
        <v>46352</v>
      </c>
      <c r="D58" s="8" t="inlineStr">
        <is>
          <t>P2440</t>
        </is>
      </c>
      <c r="E58" s="8" t="inlineStr">
        <is>
          <t>A</t>
        </is>
      </c>
      <c r="F58" s="12" t="n">
        <v>0.03</v>
      </c>
      <c r="G58" s="9">
        <f>IFERROR(IF(VLOOKUP(D58,SKUs!$A$2:$G$34,6,FALSE)="","",VLOOKUP(D58,SKUs!$A$2:$G$34,6,FALSE)),"")</f>
        <v/>
      </c>
      <c r="H58" s="9">
        <f>IF(G58="","",ROUND(G58*(1-F58),2))</f>
        <v/>
      </c>
      <c r="I58" s="13" t="n"/>
      <c r="J58" s="13" t="n"/>
      <c r="K58" s="9">
        <f>IFERROR(IF(VLOOKUP(D58,SKUs!$A$2:$G$34,7,FALSE)="","",VLOOKUP(D58,SKUs!$A$2:$G$34,7,FALSE)),"")</f>
        <v/>
      </c>
      <c r="L58" s="9">
        <f>IF(K58="","",ROUND(K58*(1-F58),2))</f>
        <v/>
      </c>
      <c r="M58" s="13" t="n"/>
      <c r="N58" s="13" t="n"/>
    </row>
    <row r="59">
      <c r="A59" s="8" t="inlineStr">
        <is>
          <t>Semana Black Winnet</t>
        </is>
      </c>
      <c r="B59" s="11" t="n">
        <v>46349</v>
      </c>
      <c r="C59" s="11" t="n">
        <v>46352</v>
      </c>
      <c r="D59" s="8" t="inlineStr">
        <is>
          <t>L2470-CZ</t>
        </is>
      </c>
      <c r="E59" s="8" t="inlineStr">
        <is>
          <t>A</t>
        </is>
      </c>
      <c r="F59" s="12" t="n">
        <v>0.03</v>
      </c>
      <c r="G59" s="9">
        <f>IFERROR(IF(VLOOKUP(D59,SKUs!$A$2:$G$34,6,FALSE)="","",VLOOKUP(D59,SKUs!$A$2:$G$34,6,FALSE)),"")</f>
        <v/>
      </c>
      <c r="H59" s="9">
        <f>IF(G59="","",ROUND(G59*(1-F59),2))</f>
        <v/>
      </c>
      <c r="I59" s="13" t="n"/>
      <c r="J59" s="13" t="n"/>
      <c r="K59" s="9">
        <f>IFERROR(IF(VLOOKUP(D59,SKUs!$A$2:$G$34,7,FALSE)="","",VLOOKUP(D59,SKUs!$A$2:$G$34,7,FALSE)),"")</f>
        <v/>
      </c>
      <c r="L59" s="9">
        <f>IF(K59="","",ROUND(K59*(1-F59),2))</f>
        <v/>
      </c>
      <c r="M59" s="13" t="n"/>
      <c r="N59" s="13" t="n"/>
    </row>
    <row r="60">
      <c r="A60" s="8" t="inlineStr">
        <is>
          <t>Semana Black Winnet</t>
        </is>
      </c>
      <c r="B60" s="11" t="n">
        <v>46349</v>
      </c>
      <c r="C60" s="11" t="n">
        <v>46352</v>
      </c>
      <c r="D60" s="8" t="inlineStr">
        <is>
          <t>L2440-AML</t>
        </is>
      </c>
      <c r="E60" s="8" t="inlineStr">
        <is>
          <t>A</t>
        </is>
      </c>
      <c r="F60" s="12" t="n">
        <v>0.03</v>
      </c>
      <c r="G60" s="9">
        <f>IFERROR(IF(VLOOKUP(D60,SKUs!$A$2:$G$34,6,FALSE)="","",VLOOKUP(D60,SKUs!$A$2:$G$34,6,FALSE)),"")</f>
        <v/>
      </c>
      <c r="H60" s="9">
        <f>IF(G60="","",ROUND(G60*(1-F60),2))</f>
        <v/>
      </c>
      <c r="I60" s="13" t="n"/>
      <c r="J60" s="13" t="n"/>
      <c r="K60" s="9">
        <f>IFERROR(IF(VLOOKUP(D60,SKUs!$A$2:$G$34,7,FALSE)="","",VLOOKUP(D60,SKUs!$A$2:$G$34,7,FALSE)),"")</f>
        <v/>
      </c>
      <c r="L60" s="9">
        <f>IF(K60="","",ROUND(K60*(1-F60),2))</f>
        <v/>
      </c>
      <c r="M60" s="13" t="n"/>
      <c r="N60" s="13" t="n"/>
    </row>
    <row r="61">
      <c r="A61" s="8" t="inlineStr">
        <is>
          <t>Semana Black Winnet</t>
        </is>
      </c>
      <c r="B61" s="11" t="n">
        <v>46349</v>
      </c>
      <c r="C61" s="11" t="n">
        <v>46352</v>
      </c>
      <c r="D61" s="8" t="inlineStr">
        <is>
          <t>L2460-AML</t>
        </is>
      </c>
      <c r="E61" s="8" t="inlineStr">
        <is>
          <t>A</t>
        </is>
      </c>
      <c r="F61" s="12" t="n">
        <v>0.03</v>
      </c>
      <c r="G61" s="9">
        <f>IFERROR(IF(VLOOKUP(D61,SKUs!$A$2:$G$34,6,FALSE)="","",VLOOKUP(D61,SKUs!$A$2:$G$34,6,FALSE)),"")</f>
        <v/>
      </c>
      <c r="H61" s="9">
        <f>IF(G61="","",ROUND(G61*(1-F61),2))</f>
        <v/>
      </c>
      <c r="I61" s="13" t="n"/>
      <c r="J61" s="13" t="n"/>
      <c r="K61" s="9">
        <f>IFERROR(IF(VLOOKUP(D61,SKUs!$A$2:$G$34,7,FALSE)="","",VLOOKUP(D61,SKUs!$A$2:$G$34,7,FALSE)),"")</f>
        <v/>
      </c>
      <c r="L61" s="9">
        <f>IF(K61="","",ROUND(K61*(1-F61),2))</f>
        <v/>
      </c>
      <c r="M61" s="13" t="n"/>
      <c r="N61" s="13" t="n"/>
    </row>
    <row r="62">
      <c r="A62" s="8" t="inlineStr">
        <is>
          <t>Semana Black Winnet</t>
        </is>
      </c>
      <c r="B62" s="11" t="n">
        <v>46349</v>
      </c>
      <c r="C62" s="11" t="n">
        <v>46352</v>
      </c>
      <c r="D62" s="8" t="inlineStr">
        <is>
          <t>L3060-AML</t>
        </is>
      </c>
      <c r="E62" s="8" t="inlineStr">
        <is>
          <t>A</t>
        </is>
      </c>
      <c r="F62" s="12" t="n">
        <v>0.03</v>
      </c>
      <c r="G62" s="9">
        <f>IFERROR(IF(VLOOKUP(D62,SKUs!$A$2:$G$34,6,FALSE)="","",VLOOKUP(D62,SKUs!$A$2:$G$34,6,FALSE)),"")</f>
        <v/>
      </c>
      <c r="H62" s="9">
        <f>IF(G62="","",ROUND(G62*(1-F62),2))</f>
        <v/>
      </c>
      <c r="I62" s="13" t="n"/>
      <c r="J62" s="13" t="n"/>
      <c r="K62" s="9">
        <f>IFERROR(IF(VLOOKUP(D62,SKUs!$A$2:$G$34,7,FALSE)="","",VLOOKUP(D62,SKUs!$A$2:$G$34,7,FALSE)),"")</f>
        <v/>
      </c>
      <c r="L62" s="9">
        <f>IF(K62="","",ROUND(K62*(1-F62),2))</f>
        <v/>
      </c>
      <c r="M62" s="13" t="n"/>
      <c r="N62" s="13" t="n"/>
    </row>
    <row r="63">
      <c r="A63" s="8" t="inlineStr">
        <is>
          <t>Semana Black Winnet</t>
        </is>
      </c>
      <c r="B63" s="11" t="n">
        <v>46349</v>
      </c>
      <c r="C63" s="11" t="n">
        <v>46352</v>
      </c>
      <c r="D63" s="8" t="inlineStr">
        <is>
          <t>Q3060-B</t>
        </is>
      </c>
      <c r="E63" s="8" t="inlineStr">
        <is>
          <t>A</t>
        </is>
      </c>
      <c r="F63" s="12" t="n">
        <v>0.03</v>
      </c>
      <c r="G63" s="9">
        <f>IFERROR(IF(VLOOKUP(D63,SKUs!$A$2:$G$34,6,FALSE)="","",VLOOKUP(D63,SKUs!$A$2:$G$34,6,FALSE)),"")</f>
        <v/>
      </c>
      <c r="H63" s="9">
        <f>IF(G63="","",ROUND(G63*(1-F63),2))</f>
        <v/>
      </c>
      <c r="I63" s="13" t="n"/>
      <c r="J63" s="13" t="n"/>
      <c r="K63" s="9">
        <f>IFERROR(IF(VLOOKUP(D63,SKUs!$A$2:$G$34,7,FALSE)="","",VLOOKUP(D63,SKUs!$A$2:$G$34,7,FALSE)),"")</f>
        <v/>
      </c>
      <c r="L63" s="9">
        <f>IF(K63="","",ROUND(K63*(1-F63),2))</f>
        <v/>
      </c>
      <c r="M63" s="13" t="n"/>
      <c r="N63" s="13" t="n"/>
    </row>
    <row r="64">
      <c r="A64" s="8" t="inlineStr">
        <is>
          <t>Semana Black Winnet</t>
        </is>
      </c>
      <c r="B64" s="11" t="n">
        <v>46349</v>
      </c>
      <c r="C64" s="11" t="n">
        <v>46352</v>
      </c>
      <c r="D64" s="8" t="inlineStr">
        <is>
          <t>L2025-T</t>
        </is>
      </c>
      <c r="E64" s="8" t="inlineStr">
        <is>
          <t>A</t>
        </is>
      </c>
      <c r="F64" s="12" t="n">
        <v>0.03</v>
      </c>
      <c r="G64" s="9">
        <f>IFERROR(IF(VLOOKUP(D64,SKUs!$A$2:$G$34,6,FALSE)="","",VLOOKUP(D64,SKUs!$A$2:$G$34,6,FALSE)),"")</f>
        <v/>
      </c>
      <c r="H64" s="9">
        <f>IF(G64="","",ROUND(G64*(1-F64),2))</f>
        <v/>
      </c>
      <c r="I64" s="13" t="n"/>
      <c r="J64" s="13" t="n"/>
      <c r="K64" s="9">
        <f>IFERROR(IF(VLOOKUP(D64,SKUs!$A$2:$G$34,7,FALSE)="","",VLOOKUP(D64,SKUs!$A$2:$G$34,7,FALSE)),"")</f>
        <v/>
      </c>
      <c r="L64" s="9">
        <f>IF(K64="","",ROUND(K64*(1-F64),2))</f>
        <v/>
      </c>
      <c r="M64" s="13" t="n"/>
      <c r="N64" s="13" t="n"/>
    </row>
    <row r="65">
      <c r="A65" s="8" t="inlineStr">
        <is>
          <t>Semana Black Winnet</t>
        </is>
      </c>
      <c r="B65" s="11" t="n">
        <v>46349</v>
      </c>
      <c r="C65" s="11" t="n">
        <v>46352</v>
      </c>
      <c r="D65" s="8" t="inlineStr">
        <is>
          <t>EMB-03</t>
        </is>
      </c>
      <c r="E65" s="8" t="inlineStr">
        <is>
          <t>Queima</t>
        </is>
      </c>
      <c r="F65" s="12" t="n">
        <v>0.1</v>
      </c>
      <c r="G65" s="9">
        <f>IFERROR(IF(VLOOKUP(D65,SKUs!$A$2:$G$34,6,FALSE)="","",VLOOKUP(D65,SKUs!$A$2:$G$34,6,FALSE)),"")</f>
        <v/>
      </c>
      <c r="H65" s="9">
        <f>IF(G65="","",ROUND(G65*(1-F65),2))</f>
        <v/>
      </c>
      <c r="I65" s="13" t="n"/>
      <c r="J65" s="13" t="n"/>
      <c r="K65" s="9">
        <f>IFERROR(IF(VLOOKUP(D65,SKUs!$A$2:$G$34,7,FALSE)="","",VLOOKUP(D65,SKUs!$A$2:$G$34,7,FALSE)),"")</f>
        <v/>
      </c>
      <c r="L65" s="9">
        <f>IF(K65="","",ROUND(K65*(1-F65),2))</f>
        <v/>
      </c>
      <c r="M65" s="13" t="n"/>
      <c r="N65" s="13" t="n"/>
    </row>
    <row r="66">
      <c r="A66" s="8" t="inlineStr">
        <is>
          <t>Semana Black Winnet</t>
        </is>
      </c>
      <c r="B66" s="11" t="n">
        <v>46349</v>
      </c>
      <c r="C66" s="11" t="n">
        <v>46352</v>
      </c>
      <c r="D66" s="8" t="inlineStr">
        <is>
          <t>EMB-05</t>
        </is>
      </c>
      <c r="E66" s="8" t="inlineStr">
        <is>
          <t>Queima</t>
        </is>
      </c>
      <c r="F66" s="12" t="n">
        <v>0.1</v>
      </c>
      <c r="G66" s="9">
        <f>IFERROR(IF(VLOOKUP(D66,SKUs!$A$2:$G$34,6,FALSE)="","",VLOOKUP(D66,SKUs!$A$2:$G$34,6,FALSE)),"")</f>
        <v/>
      </c>
      <c r="H66" s="9">
        <f>IF(G66="","",ROUND(G66*(1-F66),2))</f>
        <v/>
      </c>
      <c r="I66" s="13" t="n"/>
      <c r="J66" s="13" t="n"/>
      <c r="K66" s="9">
        <f>IFERROR(IF(VLOOKUP(D66,SKUs!$A$2:$G$34,7,FALSE)="","",VLOOKUP(D66,SKUs!$A$2:$G$34,7,FALSE)),"")</f>
        <v/>
      </c>
      <c r="L66" s="9">
        <f>IF(K66="","",ROUND(K66*(1-F66),2))</f>
        <v/>
      </c>
      <c r="M66" s="13" t="n"/>
      <c r="N66" s="13" t="n"/>
    </row>
    <row r="67">
      <c r="A67" s="8" t="inlineStr">
        <is>
          <t>Semana Black Winnet</t>
        </is>
      </c>
      <c r="B67" s="11" t="n">
        <v>46349</v>
      </c>
      <c r="C67" s="11" t="n">
        <v>46352</v>
      </c>
      <c r="D67" s="8" t="inlineStr">
        <is>
          <t>EMB-08</t>
        </is>
      </c>
      <c r="E67" s="8" t="inlineStr">
        <is>
          <t>Queima</t>
        </is>
      </c>
      <c r="F67" s="12" t="n">
        <v>0.1</v>
      </c>
      <c r="G67" s="9">
        <f>IFERROR(IF(VLOOKUP(D67,SKUs!$A$2:$G$34,6,FALSE)="","",VLOOKUP(D67,SKUs!$A$2:$G$34,6,FALSE)),"")</f>
        <v/>
      </c>
      <c r="H67" s="9">
        <f>IF(G67="","",ROUND(G67*(1-F67),2))</f>
        <v/>
      </c>
      <c r="I67" s="13" t="n"/>
      <c r="J67" s="13" t="n"/>
      <c r="K67" s="9">
        <f>IFERROR(IF(VLOOKUP(D67,SKUs!$A$2:$G$34,7,FALSE)="","",VLOOKUP(D67,SKUs!$A$2:$G$34,7,FALSE)),"")</f>
        <v/>
      </c>
      <c r="L67" s="9">
        <f>IF(K67="","",ROUND(K67*(1-F67),2))</f>
        <v/>
      </c>
      <c r="M67" s="13" t="n"/>
      <c r="N67" s="13" t="n"/>
    </row>
    <row r="68">
      <c r="A68" s="8" t="inlineStr">
        <is>
          <t>Master Black</t>
        </is>
      </c>
      <c r="B68" s="11" t="n">
        <v>46353</v>
      </c>
      <c r="C68" s="11" t="n">
        <v>46353</v>
      </c>
      <c r="D68" s="8" t="inlineStr">
        <is>
          <t>PL-SD</t>
        </is>
      </c>
      <c r="E68" s="8" t="inlineStr">
        <is>
          <t>C</t>
        </is>
      </c>
      <c r="F68" s="12" t="n">
        <v>0.1</v>
      </c>
      <c r="G68" s="9">
        <f>IFERROR(IF(VLOOKUP(D68,SKUs!$A$2:$G$34,6,FALSE)="","",VLOOKUP(D68,SKUs!$A$2:$G$34,6,FALSE)),"")</f>
        <v/>
      </c>
      <c r="H68" s="9">
        <f>IF(G68="","",ROUND(G68*(1-F68),2))</f>
        <v/>
      </c>
      <c r="I68" s="13" t="n"/>
      <c r="J68" s="13" t="n"/>
      <c r="K68" s="9">
        <f>IFERROR(IF(VLOOKUP(D68,SKUs!$A$2:$G$34,7,FALSE)="","",VLOOKUP(D68,SKUs!$A$2:$G$34,7,FALSE)),"")</f>
        <v/>
      </c>
      <c r="L68" s="9">
        <f>IF(K68="","",ROUND(K68*(1-F68),2))</f>
        <v/>
      </c>
      <c r="M68" s="13" t="n"/>
      <c r="N68" s="13" t="n"/>
    </row>
    <row r="69">
      <c r="A69" s="8" t="inlineStr">
        <is>
          <t>Master Black</t>
        </is>
      </c>
      <c r="B69" s="11" t="n">
        <v>46353</v>
      </c>
      <c r="C69" s="11" t="n">
        <v>46353</v>
      </c>
      <c r="D69" s="8" t="inlineStr">
        <is>
          <t>PQ-4070</t>
        </is>
      </c>
      <c r="E69" s="8" t="inlineStr">
        <is>
          <t>C</t>
        </is>
      </c>
      <c r="F69" s="12" t="n">
        <v>0.1</v>
      </c>
      <c r="G69" s="9">
        <f>IFERROR(IF(VLOOKUP(D69,SKUs!$A$2:$G$34,6,FALSE)="","",VLOOKUP(D69,SKUs!$A$2:$G$34,6,FALSE)),"")</f>
        <v/>
      </c>
      <c r="H69" s="9">
        <f>IF(G69="","",ROUND(G69*(1-F69),2))</f>
        <v/>
      </c>
      <c r="I69" s="13" t="n"/>
      <c r="J69" s="13" t="n"/>
      <c r="K69" s="9">
        <f>IFERROR(IF(VLOOKUP(D69,SKUs!$A$2:$G$34,7,FALSE)="","",VLOOKUP(D69,SKUs!$A$2:$G$34,7,FALSE)),"")</f>
        <v/>
      </c>
      <c r="L69" s="9">
        <f>IF(K69="","",ROUND(K69*(1-F69),2))</f>
        <v/>
      </c>
      <c r="M69" s="13" t="n"/>
      <c r="N69" s="13" t="n"/>
    </row>
    <row r="70">
      <c r="A70" s="8" t="inlineStr">
        <is>
          <t>Master Black</t>
        </is>
      </c>
      <c r="B70" s="11" t="n">
        <v>46353</v>
      </c>
      <c r="C70" s="11" t="n">
        <v>46353</v>
      </c>
      <c r="D70" s="8" t="inlineStr">
        <is>
          <t>L4070-B</t>
        </is>
      </c>
      <c r="E70" s="8" t="inlineStr">
        <is>
          <t>C</t>
        </is>
      </c>
      <c r="F70" s="12" t="n">
        <v>0.1</v>
      </c>
      <c r="G70" s="9">
        <f>IFERROR(IF(VLOOKUP(D70,SKUs!$A$2:$G$34,6,FALSE)="","",VLOOKUP(D70,SKUs!$A$2:$G$34,6,FALSE)),"")</f>
        <v/>
      </c>
      <c r="H70" s="9">
        <f>IF(G70="","",ROUND(G70*(1-F70),2))</f>
        <v/>
      </c>
      <c r="I70" s="13" t="n"/>
      <c r="J70" s="13" t="n"/>
      <c r="K70" s="9">
        <f>IFERROR(IF(VLOOKUP(D70,SKUs!$A$2:$G$34,7,FALSE)="","",VLOOKUP(D70,SKUs!$A$2:$G$34,7,FALSE)),"")</f>
        <v/>
      </c>
      <c r="L70" s="9">
        <f>IF(K70="","",ROUND(K70*(1-F70),2))</f>
        <v/>
      </c>
      <c r="M70" s="13" t="n"/>
      <c r="N70" s="13" t="n"/>
    </row>
    <row r="71">
      <c r="A71" s="8" t="inlineStr">
        <is>
          <t>Master Black</t>
        </is>
      </c>
      <c r="B71" s="11" t="n">
        <v>46353</v>
      </c>
      <c r="C71" s="11" t="n">
        <v>46353</v>
      </c>
      <c r="D71" s="8" t="inlineStr">
        <is>
          <t>L3060-CP</t>
        </is>
      </c>
      <c r="E71" s="8" t="inlineStr">
        <is>
          <t>C</t>
        </is>
      </c>
      <c r="F71" s="12" t="n">
        <v>0.1</v>
      </c>
      <c r="G71" s="9">
        <f>IFERROR(IF(VLOOKUP(D71,SKUs!$A$2:$G$34,6,FALSE)="","",VLOOKUP(D71,SKUs!$A$2:$G$34,6,FALSE)),"")</f>
        <v/>
      </c>
      <c r="H71" s="9">
        <f>IF(G71="","",ROUND(G71*(1-F71),2))</f>
        <v/>
      </c>
      <c r="I71" s="13" t="n"/>
      <c r="J71" s="13" t="n"/>
      <c r="K71" s="9">
        <f>IFERROR(IF(VLOOKUP(D71,SKUs!$A$2:$G$34,7,FALSE)="","",VLOOKUP(D71,SKUs!$A$2:$G$34,7,FALSE)),"")</f>
        <v/>
      </c>
      <c r="L71" s="9">
        <f>IF(K71="","",ROUND(K71*(1-F71),2))</f>
        <v/>
      </c>
      <c r="M71" s="13" t="n"/>
      <c r="N71" s="13" t="n"/>
    </row>
    <row r="72">
      <c r="A72" s="8" t="inlineStr">
        <is>
          <t>Master Black</t>
        </is>
      </c>
      <c r="B72" s="11" t="n">
        <v>46353</v>
      </c>
      <c r="C72" s="11" t="n">
        <v>46353</v>
      </c>
      <c r="D72" s="8" t="inlineStr">
        <is>
          <t>P3060RA</t>
        </is>
      </c>
      <c r="E72" s="8" t="inlineStr">
        <is>
          <t>B</t>
        </is>
      </c>
      <c r="F72" s="12" t="n">
        <v>0.08</v>
      </c>
      <c r="G72" s="9">
        <f>IFERROR(IF(VLOOKUP(D72,SKUs!$A$2:$G$34,6,FALSE)="","",VLOOKUP(D72,SKUs!$A$2:$G$34,6,FALSE)),"")</f>
        <v/>
      </c>
      <c r="H72" s="9">
        <f>IF(G72="","",ROUND(G72*(1-F72),2))</f>
        <v/>
      </c>
      <c r="I72" s="13" t="n"/>
      <c r="J72" s="13" t="n"/>
      <c r="K72" s="9">
        <f>IFERROR(IF(VLOOKUP(D72,SKUs!$A$2:$G$34,7,FALSE)="","",VLOOKUP(D72,SKUs!$A$2:$G$34,7,FALSE)),"")</f>
        <v/>
      </c>
      <c r="L72" s="9">
        <f>IF(K72="","",ROUND(K72*(1-F72),2))</f>
        <v/>
      </c>
      <c r="M72" s="13" t="n"/>
      <c r="N72" s="13" t="n"/>
    </row>
    <row r="73">
      <c r="A73" s="8" t="inlineStr">
        <is>
          <t>Master Black</t>
        </is>
      </c>
      <c r="B73" s="11" t="n">
        <v>46353</v>
      </c>
      <c r="C73" s="11" t="n">
        <v>46353</v>
      </c>
      <c r="D73" s="8" t="inlineStr">
        <is>
          <t>P4080RA</t>
        </is>
      </c>
      <c r="E73" s="8" t="inlineStr">
        <is>
          <t>B</t>
        </is>
      </c>
      <c r="F73" s="12" t="n">
        <v>0.08</v>
      </c>
      <c r="G73" s="9">
        <f>IFERROR(IF(VLOOKUP(D73,SKUs!$A$2:$G$34,6,FALSE)="","",VLOOKUP(D73,SKUs!$A$2:$G$34,6,FALSE)),"")</f>
        <v/>
      </c>
      <c r="H73" s="9">
        <f>IF(G73="","",ROUND(G73*(1-F73),2))</f>
        <v/>
      </c>
      <c r="I73" s="13" t="n"/>
      <c r="J73" s="13" t="n"/>
      <c r="K73" s="9">
        <f>IFERROR(IF(VLOOKUP(D73,SKUs!$A$2:$G$34,7,FALSE)="","",VLOOKUP(D73,SKUs!$A$2:$G$34,7,FALSE)),"")</f>
        <v/>
      </c>
      <c r="L73" s="9">
        <f>IF(K73="","",ROUND(K73*(1-F73),2))</f>
        <v/>
      </c>
      <c r="M73" s="13" t="n"/>
      <c r="N73" s="13" t="n"/>
    </row>
    <row r="74">
      <c r="A74" s="8" t="inlineStr">
        <is>
          <t>Master Black</t>
        </is>
      </c>
      <c r="B74" s="11" t="n">
        <v>46353</v>
      </c>
      <c r="C74" s="11" t="n">
        <v>46353</v>
      </c>
      <c r="D74" s="8" t="inlineStr">
        <is>
          <t>EGC</t>
        </is>
      </c>
      <c r="E74" s="8" t="inlineStr">
        <is>
          <t>B</t>
        </is>
      </c>
      <c r="F74" s="12" t="n">
        <v>0.08</v>
      </c>
      <c r="G74" s="9">
        <f>IFERROR(IF(VLOOKUP(D74,SKUs!$A$2:$G$34,6,FALSE)="","",VLOOKUP(D74,SKUs!$A$2:$G$34,6,FALSE)),"")</f>
        <v/>
      </c>
      <c r="H74" s="9">
        <f>IF(G74="","",ROUND(G74*(1-F74),2))</f>
        <v/>
      </c>
      <c r="I74" s="13" t="n"/>
      <c r="J74" s="13" t="n"/>
      <c r="K74" s="9">
        <f>IFERROR(IF(VLOOKUP(D74,SKUs!$A$2:$G$34,7,FALSE)="","",VLOOKUP(D74,SKUs!$A$2:$G$34,7,FALSE)),"")</f>
        <v/>
      </c>
      <c r="L74" s="9">
        <f>IF(K74="","",ROUND(K74*(1-F74),2))</f>
        <v/>
      </c>
      <c r="M74" s="13" t="n"/>
      <c r="N74" s="13" t="n"/>
    </row>
    <row r="75">
      <c r="A75" s="8" t="inlineStr">
        <is>
          <t>Master Black</t>
        </is>
      </c>
      <c r="B75" s="11" t="n">
        <v>46353</v>
      </c>
      <c r="C75" s="11" t="n">
        <v>46353</v>
      </c>
      <c r="D75" s="8" t="inlineStr">
        <is>
          <t>P4070</t>
        </is>
      </c>
      <c r="E75" s="8" t="inlineStr">
        <is>
          <t>B</t>
        </is>
      </c>
      <c r="F75" s="12" t="n">
        <v>0.08</v>
      </c>
      <c r="G75" s="9">
        <f>IFERROR(IF(VLOOKUP(D75,SKUs!$A$2:$G$34,6,FALSE)="","",VLOOKUP(D75,SKUs!$A$2:$G$34,6,FALSE)),"")</f>
        <v/>
      </c>
      <c r="H75" s="9">
        <f>IF(G75="","",ROUND(G75*(1-F75),2))</f>
        <v/>
      </c>
      <c r="I75" s="13" t="n"/>
      <c r="J75" s="13" t="n"/>
      <c r="K75" s="9">
        <f>IFERROR(IF(VLOOKUP(D75,SKUs!$A$2:$G$34,7,FALSE)="","",VLOOKUP(D75,SKUs!$A$2:$G$34,7,FALSE)),"")</f>
        <v/>
      </c>
      <c r="L75" s="9">
        <f>IF(K75="","",ROUND(K75*(1-F75),2))</f>
        <v/>
      </c>
      <c r="M75" s="13" t="n"/>
      <c r="N75" s="13" t="n"/>
    </row>
    <row r="76">
      <c r="A76" s="8" t="inlineStr">
        <is>
          <t>Master Black</t>
        </is>
      </c>
      <c r="B76" s="11" t="n">
        <v>46353</v>
      </c>
      <c r="C76" s="11" t="n">
        <v>46353</v>
      </c>
      <c r="D76" s="8" t="inlineStr">
        <is>
          <t>L2440-B</t>
        </is>
      </c>
      <c r="E76" s="8" t="inlineStr">
        <is>
          <t>B</t>
        </is>
      </c>
      <c r="F76" s="12" t="n">
        <v>0.08</v>
      </c>
      <c r="G76" s="9">
        <f>IFERROR(IF(VLOOKUP(D76,SKUs!$A$2:$G$34,6,FALSE)="","",VLOOKUP(D76,SKUs!$A$2:$G$34,6,FALSE)),"")</f>
        <v/>
      </c>
      <c r="H76" s="9">
        <f>IF(G76="","",ROUND(G76*(1-F76),2))</f>
        <v/>
      </c>
      <c r="I76" s="13" t="n"/>
      <c r="J76" s="13" t="n"/>
      <c r="K76" s="9">
        <f>IFERROR(IF(VLOOKUP(D76,SKUs!$A$2:$G$34,7,FALSE)="","",VLOOKUP(D76,SKUs!$A$2:$G$34,7,FALSE)),"")</f>
        <v/>
      </c>
      <c r="L76" s="9">
        <f>IF(K76="","",ROUND(K76*(1-F76),2))</f>
        <v/>
      </c>
      <c r="M76" s="13" t="n"/>
      <c r="N76" s="13" t="n"/>
    </row>
    <row r="77">
      <c r="A77" s="8" t="inlineStr">
        <is>
          <t>Master Black</t>
        </is>
      </c>
      <c r="B77" s="11" t="n">
        <v>46353</v>
      </c>
      <c r="C77" s="11" t="n">
        <v>46353</v>
      </c>
      <c r="D77" s="8" t="inlineStr">
        <is>
          <t>L2430-B</t>
        </is>
      </c>
      <c r="E77" s="8" t="inlineStr">
        <is>
          <t>B</t>
        </is>
      </c>
      <c r="F77" s="12" t="n">
        <v>0.08</v>
      </c>
      <c r="G77" s="9">
        <f>IFERROR(IF(VLOOKUP(D77,SKUs!$A$2:$G$34,6,FALSE)="","",VLOOKUP(D77,SKUs!$A$2:$G$34,6,FALSE)),"")</f>
        <v/>
      </c>
      <c r="H77" s="9">
        <f>IF(G77="","",ROUND(G77*(1-F77),2))</f>
        <v/>
      </c>
      <c r="I77" s="13" t="n"/>
      <c r="J77" s="13" t="n"/>
      <c r="K77" s="9">
        <f>IFERROR(IF(VLOOKUP(D77,SKUs!$A$2:$G$34,7,FALSE)="","",VLOOKUP(D77,SKUs!$A$2:$G$34,7,FALSE)),"")</f>
        <v/>
      </c>
      <c r="L77" s="9">
        <f>IF(K77="","",ROUND(K77*(1-F77),2))</f>
        <v/>
      </c>
      <c r="M77" s="13" t="n"/>
      <c r="N77" s="13" t="n"/>
    </row>
    <row r="78">
      <c r="A78" s="8" t="inlineStr">
        <is>
          <t>Master Black</t>
        </is>
      </c>
      <c r="B78" s="11" t="n">
        <v>46353</v>
      </c>
      <c r="C78" s="11" t="n">
        <v>46353</v>
      </c>
      <c r="D78" s="8" t="inlineStr">
        <is>
          <t>L2430-A</t>
        </is>
      </c>
      <c r="E78" s="8" t="inlineStr">
        <is>
          <t>B</t>
        </is>
      </c>
      <c r="F78" s="12" t="n">
        <v>0.08</v>
      </c>
      <c r="G78" s="9">
        <f>IFERROR(IF(VLOOKUP(D78,SKUs!$A$2:$G$34,6,FALSE)="","",VLOOKUP(D78,SKUs!$A$2:$G$34,6,FALSE)),"")</f>
        <v/>
      </c>
      <c r="H78" s="9">
        <f>IF(G78="","",ROUND(G78*(1-F78),2))</f>
        <v/>
      </c>
      <c r="I78" s="13" t="n"/>
      <c r="J78" s="13" t="n"/>
      <c r="K78" s="9">
        <f>IFERROR(IF(VLOOKUP(D78,SKUs!$A$2:$G$34,7,FALSE)="","",VLOOKUP(D78,SKUs!$A$2:$G$34,7,FALSE)),"")</f>
        <v/>
      </c>
      <c r="L78" s="9">
        <f>IF(K78="","",ROUND(K78*(1-F78),2))</f>
        <v/>
      </c>
      <c r="M78" s="13" t="n"/>
      <c r="N78" s="13" t="n"/>
    </row>
    <row r="79">
      <c r="A79" s="8" t="inlineStr">
        <is>
          <t>Master Black</t>
        </is>
      </c>
      <c r="B79" s="11" t="n">
        <v>46353</v>
      </c>
      <c r="C79" s="11" t="n">
        <v>46353</v>
      </c>
      <c r="D79" s="8" t="inlineStr">
        <is>
          <t>L2450-A</t>
        </is>
      </c>
      <c r="E79" s="8" t="inlineStr">
        <is>
          <t>B</t>
        </is>
      </c>
      <c r="F79" s="12" t="n">
        <v>0.08</v>
      </c>
      <c r="G79" s="9">
        <f>IFERROR(IF(VLOOKUP(D79,SKUs!$A$2:$G$34,6,FALSE)="","",VLOOKUP(D79,SKUs!$A$2:$G$34,6,FALSE)),"")</f>
        <v/>
      </c>
      <c r="H79" s="9">
        <f>IF(G79="","",ROUND(G79*(1-F79),2))</f>
        <v/>
      </c>
      <c r="I79" s="13" t="n"/>
      <c r="J79" s="13" t="n"/>
      <c r="K79" s="9">
        <f>IFERROR(IF(VLOOKUP(D79,SKUs!$A$2:$G$34,7,FALSE)="","",VLOOKUP(D79,SKUs!$A$2:$G$34,7,FALSE)),"")</f>
        <v/>
      </c>
      <c r="L79" s="9">
        <f>IF(K79="","",ROUND(K79*(1-F79),2))</f>
        <v/>
      </c>
      <c r="M79" s="13" t="n"/>
      <c r="N79" s="13" t="n"/>
    </row>
    <row r="80">
      <c r="A80" s="8" t="inlineStr">
        <is>
          <t>Master Black</t>
        </is>
      </c>
      <c r="B80" s="11" t="n">
        <v>46353</v>
      </c>
      <c r="C80" s="11" t="n">
        <v>46353</v>
      </c>
      <c r="D80" s="8" t="inlineStr">
        <is>
          <t>P2025</t>
        </is>
      </c>
      <c r="E80" s="8" t="inlineStr">
        <is>
          <t>B</t>
        </is>
      </c>
      <c r="F80" s="12" t="n">
        <v>0.08</v>
      </c>
      <c r="G80" s="9">
        <f>IFERROR(IF(VLOOKUP(D80,SKUs!$A$2:$G$34,6,FALSE)="","",VLOOKUP(D80,SKUs!$A$2:$G$34,6,FALSE)),"")</f>
        <v/>
      </c>
      <c r="H80" s="9">
        <f>IF(G80="","",ROUND(G80*(1-F80),2))</f>
        <v/>
      </c>
      <c r="I80" s="13" t="n"/>
      <c r="J80" s="13" t="n"/>
      <c r="K80" s="9">
        <f>IFERROR(IF(VLOOKUP(D80,SKUs!$A$2:$G$34,7,FALSE)="","",VLOOKUP(D80,SKUs!$A$2:$G$34,7,FALSE)),"")</f>
        <v/>
      </c>
      <c r="L80" s="9">
        <f>IF(K80="","",ROUND(K80*(1-F80),2))</f>
        <v/>
      </c>
      <c r="M80" s="13" t="n"/>
      <c r="N80" s="13" t="n"/>
    </row>
    <row r="81">
      <c r="A81" s="8" t="inlineStr">
        <is>
          <t>Master Black</t>
        </is>
      </c>
      <c r="B81" s="11" t="n">
        <v>46353</v>
      </c>
      <c r="C81" s="11" t="n">
        <v>46353</v>
      </c>
      <c r="D81" s="8" t="inlineStr">
        <is>
          <t>SP-F</t>
        </is>
      </c>
      <c r="E81" s="8" t="inlineStr">
        <is>
          <t>B</t>
        </is>
      </c>
      <c r="F81" s="12" t="n">
        <v>0.08</v>
      </c>
      <c r="G81" s="9">
        <f>IFERROR(IF(VLOOKUP(D81,SKUs!$A$2:$G$34,6,FALSE)="","",VLOOKUP(D81,SKUs!$A$2:$G$34,6,FALSE)),"")</f>
        <v/>
      </c>
      <c r="H81" s="9">
        <f>IF(G81="","",ROUND(G81*(1-F81),2))</f>
        <v/>
      </c>
      <c r="I81" s="13" t="n"/>
      <c r="J81" s="13" t="n"/>
      <c r="K81" s="9">
        <f>IFERROR(IF(VLOOKUP(D81,SKUs!$A$2:$G$34,7,FALSE)="","",VLOOKUP(D81,SKUs!$A$2:$G$34,7,FALSE)),"")</f>
        <v/>
      </c>
      <c r="L81" s="9">
        <f>IF(K81="","",ROUND(K81*(1-F81),2))</f>
        <v/>
      </c>
      <c r="M81" s="13" t="n"/>
      <c r="N81" s="13" t="n"/>
    </row>
    <row r="82">
      <c r="A82" s="8" t="inlineStr">
        <is>
          <t>Master Black</t>
        </is>
      </c>
      <c r="B82" s="11" t="n">
        <v>46353</v>
      </c>
      <c r="C82" s="11" t="n">
        <v>46353</v>
      </c>
      <c r="D82" s="8" t="inlineStr">
        <is>
          <t>SP-T</t>
        </is>
      </c>
      <c r="E82" s="8" t="inlineStr">
        <is>
          <t>B</t>
        </is>
      </c>
      <c r="F82" s="12" t="n">
        <v>0.08</v>
      </c>
      <c r="G82" s="9">
        <f>IFERROR(IF(VLOOKUP(D82,SKUs!$A$2:$G$34,6,FALSE)="","",VLOOKUP(D82,SKUs!$A$2:$G$34,6,FALSE)),"")</f>
        <v/>
      </c>
      <c r="H82" s="9">
        <f>IF(G82="","",ROUND(G82*(1-F82),2))</f>
        <v/>
      </c>
      <c r="I82" s="13" t="n"/>
      <c r="J82" s="13" t="n"/>
      <c r="K82" s="9">
        <f>IFERROR(IF(VLOOKUP(D82,SKUs!$A$2:$G$34,7,FALSE)="","",VLOOKUP(D82,SKUs!$A$2:$G$34,7,FALSE)),"")</f>
        <v/>
      </c>
      <c r="L82" s="9">
        <f>IF(K82="","",ROUND(K82*(1-F82),2))</f>
        <v/>
      </c>
      <c r="M82" s="13" t="n"/>
      <c r="N82" s="13" t="n"/>
    </row>
    <row r="83">
      <c r="A83" s="8" t="inlineStr">
        <is>
          <t>Master Black</t>
        </is>
      </c>
      <c r="B83" s="11" t="n">
        <v>46353</v>
      </c>
      <c r="C83" s="11" t="n">
        <v>46353</v>
      </c>
      <c r="D83" s="8" t="inlineStr">
        <is>
          <t>PG3070</t>
        </is>
      </c>
      <c r="E83" s="8" t="inlineStr">
        <is>
          <t>B</t>
        </is>
      </c>
      <c r="F83" s="12" t="n">
        <v>0.08</v>
      </c>
      <c r="G83" s="9">
        <f>IFERROR(IF(VLOOKUP(D83,SKUs!$A$2:$G$34,6,FALSE)="","",VLOOKUP(D83,SKUs!$A$2:$G$34,6,FALSE)),"")</f>
        <v/>
      </c>
      <c r="H83" s="9">
        <f>IF(G83="","",ROUND(G83*(1-F83),2))</f>
        <v/>
      </c>
      <c r="I83" s="13" t="n"/>
      <c r="J83" s="13" t="n"/>
      <c r="K83" s="9">
        <f>IFERROR(IF(VLOOKUP(D83,SKUs!$A$2:$G$34,7,FALSE)="","",VLOOKUP(D83,SKUs!$A$2:$G$34,7,FALSE)),"")</f>
        <v/>
      </c>
      <c r="L83" s="9">
        <f>IF(K83="","",ROUND(K83*(1-F83),2))</f>
        <v/>
      </c>
      <c r="M83" s="13" t="n"/>
      <c r="N83" s="13" t="n"/>
    </row>
    <row r="84">
      <c r="A84" s="8" t="inlineStr">
        <is>
          <t>Master Black</t>
        </is>
      </c>
      <c r="B84" s="11" t="n">
        <v>46353</v>
      </c>
      <c r="C84" s="11" t="n">
        <v>46353</v>
      </c>
      <c r="D84" s="8" t="inlineStr">
        <is>
          <t>PQ-3060</t>
        </is>
      </c>
      <c r="E84" s="8" t="inlineStr">
        <is>
          <t>B</t>
        </is>
      </c>
      <c r="F84" s="12" t="n">
        <v>0.08</v>
      </c>
      <c r="G84" s="9">
        <f>IFERROR(IF(VLOOKUP(D84,SKUs!$A$2:$G$34,6,FALSE)="","",VLOOKUP(D84,SKUs!$A$2:$G$34,6,FALSE)),"")</f>
        <v/>
      </c>
      <c r="H84" s="9">
        <f>IF(G84="","",ROUND(G84*(1-F84),2))</f>
        <v/>
      </c>
      <c r="I84" s="13" t="n"/>
      <c r="J84" s="13" t="n"/>
      <c r="K84" s="9">
        <f>IFERROR(IF(VLOOKUP(D84,SKUs!$A$2:$G$34,7,FALSE)="","",VLOOKUP(D84,SKUs!$A$2:$G$34,7,FALSE)),"")</f>
        <v/>
      </c>
      <c r="L84" s="9">
        <f>IF(K84="","",ROUND(K84*(1-F84),2))</f>
        <v/>
      </c>
      <c r="M84" s="13" t="n"/>
      <c r="N84" s="13" t="n"/>
    </row>
    <row r="85">
      <c r="A85" s="8" t="inlineStr">
        <is>
          <t>Master Black</t>
        </is>
      </c>
      <c r="B85" s="11" t="n">
        <v>46353</v>
      </c>
      <c r="C85" s="11" t="n">
        <v>46353</v>
      </c>
      <c r="D85" s="8" t="inlineStr">
        <is>
          <t>PXP</t>
        </is>
      </c>
      <c r="E85" s="8" t="inlineStr">
        <is>
          <t>A</t>
        </is>
      </c>
      <c r="F85" s="12" t="n">
        <v>0.05</v>
      </c>
      <c r="G85" s="9">
        <f>IFERROR(IF(VLOOKUP(D85,SKUs!$A$2:$G$34,6,FALSE)="","",VLOOKUP(D85,SKUs!$A$2:$G$34,6,FALSE)),"")</f>
        <v/>
      </c>
      <c r="H85" s="9">
        <f>IF(G85="","",ROUND(G85*(1-F85),2))</f>
        <v/>
      </c>
      <c r="I85" s="13" t="n"/>
      <c r="J85" s="13" t="n"/>
      <c r="K85" s="9">
        <f>IFERROR(IF(VLOOKUP(D85,SKUs!$A$2:$G$34,7,FALSE)="","",VLOOKUP(D85,SKUs!$A$2:$G$34,7,FALSE)),"")</f>
        <v/>
      </c>
      <c r="L85" s="9">
        <f>IF(K85="","",ROUND(K85*(1-F85),2))</f>
        <v/>
      </c>
      <c r="M85" s="13" t="n"/>
      <c r="N85" s="13" t="n"/>
    </row>
    <row r="86">
      <c r="A86" s="8" t="inlineStr">
        <is>
          <t>Master Black</t>
        </is>
      </c>
      <c r="B86" s="11" t="n">
        <v>46353</v>
      </c>
      <c r="C86" s="11" t="n">
        <v>46353</v>
      </c>
      <c r="D86" s="8" t="inlineStr">
        <is>
          <t>PXM</t>
        </is>
      </c>
      <c r="E86" s="8" t="inlineStr">
        <is>
          <t>A</t>
        </is>
      </c>
      <c r="F86" s="12" t="n">
        <v>0.05</v>
      </c>
      <c r="G86" s="9">
        <f>IFERROR(IF(VLOOKUP(D86,SKUs!$A$2:$G$34,6,FALSE)="","",VLOOKUP(D86,SKUs!$A$2:$G$34,6,FALSE)),"")</f>
        <v/>
      </c>
      <c r="H86" s="9">
        <f>IF(G86="","",ROUND(G86*(1-F86),2))</f>
        <v/>
      </c>
      <c r="I86" s="13" t="n"/>
      <c r="J86" s="13" t="n"/>
      <c r="K86" s="9">
        <f>IFERROR(IF(VLOOKUP(D86,SKUs!$A$2:$G$34,7,FALSE)="","",VLOOKUP(D86,SKUs!$A$2:$G$34,7,FALSE)),"")</f>
        <v/>
      </c>
      <c r="L86" s="9">
        <f>IF(K86="","",ROUND(K86*(1-F86),2))</f>
        <v/>
      </c>
      <c r="M86" s="13" t="n"/>
      <c r="N86" s="13" t="n"/>
    </row>
    <row r="87">
      <c r="A87" s="8" t="inlineStr">
        <is>
          <t>Master Black</t>
        </is>
      </c>
      <c r="B87" s="11" t="n">
        <v>46353</v>
      </c>
      <c r="C87" s="11" t="n">
        <v>46353</v>
      </c>
      <c r="D87" s="8" t="inlineStr">
        <is>
          <t>SP-01</t>
        </is>
      </c>
      <c r="E87" s="8" t="inlineStr">
        <is>
          <t>A</t>
        </is>
      </c>
      <c r="F87" s="12" t="n">
        <v>0.05</v>
      </c>
      <c r="G87" s="9">
        <f>IFERROR(IF(VLOOKUP(D87,SKUs!$A$2:$G$34,6,FALSE)="","",VLOOKUP(D87,SKUs!$A$2:$G$34,6,FALSE)),"")</f>
        <v/>
      </c>
      <c r="H87" s="9">
        <f>IF(G87="","",ROUND(G87*(1-F87),2))</f>
        <v/>
      </c>
      <c r="I87" s="13" t="n"/>
      <c r="J87" s="13" t="n"/>
      <c r="K87" s="9">
        <f>IFERROR(IF(VLOOKUP(D87,SKUs!$A$2:$G$34,7,FALSE)="","",VLOOKUP(D87,SKUs!$A$2:$G$34,7,FALSE)),"")</f>
        <v/>
      </c>
      <c r="L87" s="9">
        <f>IF(K87="","",ROUND(K87*(1-F87),2))</f>
        <v/>
      </c>
      <c r="M87" s="13" t="n"/>
      <c r="N87" s="13" t="n"/>
    </row>
    <row r="88">
      <c r="A88" s="8" t="inlineStr">
        <is>
          <t>Master Black</t>
        </is>
      </c>
      <c r="B88" s="11" t="n">
        <v>46353</v>
      </c>
      <c r="C88" s="11" t="n">
        <v>46353</v>
      </c>
      <c r="D88" s="8" t="inlineStr">
        <is>
          <t>P3060</t>
        </is>
      </c>
      <c r="E88" s="8" t="inlineStr">
        <is>
          <t>A</t>
        </is>
      </c>
      <c r="F88" s="12" t="n">
        <v>0.05</v>
      </c>
      <c r="G88" s="9">
        <f>IFERROR(IF(VLOOKUP(D88,SKUs!$A$2:$G$34,6,FALSE)="","",VLOOKUP(D88,SKUs!$A$2:$G$34,6,FALSE)),"")</f>
        <v/>
      </c>
      <c r="H88" s="9">
        <f>IF(G88="","",ROUND(G88*(1-F88),2))</f>
        <v/>
      </c>
      <c r="I88" s="13" t="n"/>
      <c r="J88" s="13" t="n"/>
      <c r="K88" s="9">
        <f>IFERROR(IF(VLOOKUP(D88,SKUs!$A$2:$G$34,7,FALSE)="","",VLOOKUP(D88,SKUs!$A$2:$G$34,7,FALSE)),"")</f>
        <v/>
      </c>
      <c r="L88" s="9">
        <f>IF(K88="","",ROUND(K88*(1-F88),2))</f>
        <v/>
      </c>
      <c r="M88" s="13" t="n"/>
      <c r="N88" s="13" t="n"/>
    </row>
    <row r="89">
      <c r="A89" s="8" t="inlineStr">
        <is>
          <t>Master Black</t>
        </is>
      </c>
      <c r="B89" s="11" t="n">
        <v>46353</v>
      </c>
      <c r="C89" s="11" t="n">
        <v>46353</v>
      </c>
      <c r="D89" s="8" t="inlineStr">
        <is>
          <t>P4080</t>
        </is>
      </c>
      <c r="E89" s="8" t="inlineStr">
        <is>
          <t>A</t>
        </is>
      </c>
      <c r="F89" s="12" t="n">
        <v>0.05</v>
      </c>
      <c r="G89" s="9">
        <f>IFERROR(IF(VLOOKUP(D89,SKUs!$A$2:$G$34,6,FALSE)="","",VLOOKUP(D89,SKUs!$A$2:$G$34,6,FALSE)),"")</f>
        <v/>
      </c>
      <c r="H89" s="9">
        <f>IF(G89="","",ROUND(G89*(1-F89),2))</f>
        <v/>
      </c>
      <c r="I89" s="13" t="n"/>
      <c r="J89" s="13" t="n"/>
      <c r="K89" s="9">
        <f>IFERROR(IF(VLOOKUP(D89,SKUs!$A$2:$G$34,7,FALSE)="","",VLOOKUP(D89,SKUs!$A$2:$G$34,7,FALSE)),"")</f>
        <v/>
      </c>
      <c r="L89" s="9">
        <f>IF(K89="","",ROUND(K89*(1-F89),2))</f>
        <v/>
      </c>
      <c r="M89" s="13" t="n"/>
      <c r="N89" s="13" t="n"/>
    </row>
    <row r="90">
      <c r="A90" s="8" t="inlineStr">
        <is>
          <t>Master Black</t>
        </is>
      </c>
      <c r="B90" s="11" t="n">
        <v>46353</v>
      </c>
      <c r="C90" s="11" t="n">
        <v>46353</v>
      </c>
      <c r="D90" s="8" t="inlineStr">
        <is>
          <t>P3070</t>
        </is>
      </c>
      <c r="E90" s="8" t="inlineStr">
        <is>
          <t>A</t>
        </is>
      </c>
      <c r="F90" s="12" t="n">
        <v>0.05</v>
      </c>
      <c r="G90" s="9">
        <f>IFERROR(IF(VLOOKUP(D90,SKUs!$A$2:$G$34,6,FALSE)="","",VLOOKUP(D90,SKUs!$A$2:$G$34,6,FALSE)),"")</f>
        <v/>
      </c>
      <c r="H90" s="9">
        <f>IF(G90="","",ROUND(G90*(1-F90),2))</f>
        <v/>
      </c>
      <c r="I90" s="13" t="n"/>
      <c r="J90" s="13" t="n"/>
      <c r="K90" s="9">
        <f>IFERROR(IF(VLOOKUP(D90,SKUs!$A$2:$G$34,7,FALSE)="","",VLOOKUP(D90,SKUs!$A$2:$G$34,7,FALSE)),"")</f>
        <v/>
      </c>
      <c r="L90" s="9">
        <f>IF(K90="","",ROUND(K90*(1-F90),2))</f>
        <v/>
      </c>
      <c r="M90" s="13" t="n"/>
      <c r="N90" s="13" t="n"/>
    </row>
    <row r="91">
      <c r="A91" s="8" t="inlineStr">
        <is>
          <t>Master Black</t>
        </is>
      </c>
      <c r="B91" s="11" t="n">
        <v>46353</v>
      </c>
      <c r="C91" s="11" t="n">
        <v>46353</v>
      </c>
      <c r="D91" s="8" t="inlineStr">
        <is>
          <t>P2440</t>
        </is>
      </c>
      <c r="E91" s="8" t="inlineStr">
        <is>
          <t>A</t>
        </is>
      </c>
      <c r="F91" s="12" t="n">
        <v>0.05</v>
      </c>
      <c r="G91" s="9">
        <f>IFERROR(IF(VLOOKUP(D91,SKUs!$A$2:$G$34,6,FALSE)="","",VLOOKUP(D91,SKUs!$A$2:$G$34,6,FALSE)),"")</f>
        <v/>
      </c>
      <c r="H91" s="9">
        <f>IF(G91="","",ROUND(G91*(1-F91),2))</f>
        <v/>
      </c>
      <c r="I91" s="13" t="n"/>
      <c r="J91" s="13" t="n"/>
      <c r="K91" s="9">
        <f>IFERROR(IF(VLOOKUP(D91,SKUs!$A$2:$G$34,7,FALSE)="","",VLOOKUP(D91,SKUs!$A$2:$G$34,7,FALSE)),"")</f>
        <v/>
      </c>
      <c r="L91" s="9">
        <f>IF(K91="","",ROUND(K91*(1-F91),2))</f>
        <v/>
      </c>
      <c r="M91" s="13" t="n"/>
      <c r="N91" s="13" t="n"/>
    </row>
    <row r="92">
      <c r="A92" s="8" t="inlineStr">
        <is>
          <t>Master Black</t>
        </is>
      </c>
      <c r="B92" s="11" t="n">
        <v>46353</v>
      </c>
      <c r="C92" s="11" t="n">
        <v>46353</v>
      </c>
      <c r="D92" s="8" t="inlineStr">
        <is>
          <t>L2470-CZ</t>
        </is>
      </c>
      <c r="E92" s="8" t="inlineStr">
        <is>
          <t>A</t>
        </is>
      </c>
      <c r="F92" s="12" t="n">
        <v>0.05</v>
      </c>
      <c r="G92" s="9">
        <f>IFERROR(IF(VLOOKUP(D92,SKUs!$A$2:$G$34,6,FALSE)="","",VLOOKUP(D92,SKUs!$A$2:$G$34,6,FALSE)),"")</f>
        <v/>
      </c>
      <c r="H92" s="9">
        <f>IF(G92="","",ROUND(G92*(1-F92),2))</f>
        <v/>
      </c>
      <c r="I92" s="13" t="n"/>
      <c r="J92" s="13" t="n"/>
      <c r="K92" s="9">
        <f>IFERROR(IF(VLOOKUP(D92,SKUs!$A$2:$G$34,7,FALSE)="","",VLOOKUP(D92,SKUs!$A$2:$G$34,7,FALSE)),"")</f>
        <v/>
      </c>
      <c r="L92" s="9">
        <f>IF(K92="","",ROUND(K92*(1-F92),2))</f>
        <v/>
      </c>
      <c r="M92" s="13" t="n"/>
      <c r="N92" s="13" t="n"/>
    </row>
    <row r="93">
      <c r="A93" s="8" t="inlineStr">
        <is>
          <t>Master Black</t>
        </is>
      </c>
      <c r="B93" s="11" t="n">
        <v>46353</v>
      </c>
      <c r="C93" s="11" t="n">
        <v>46353</v>
      </c>
      <c r="D93" s="8" t="inlineStr">
        <is>
          <t>L2440-AML</t>
        </is>
      </c>
      <c r="E93" s="8" t="inlineStr">
        <is>
          <t>A</t>
        </is>
      </c>
      <c r="F93" s="12" t="n">
        <v>0.05</v>
      </c>
      <c r="G93" s="9">
        <f>IFERROR(IF(VLOOKUP(D93,SKUs!$A$2:$G$34,6,FALSE)="","",VLOOKUP(D93,SKUs!$A$2:$G$34,6,FALSE)),"")</f>
        <v/>
      </c>
      <c r="H93" s="9">
        <f>IF(G93="","",ROUND(G93*(1-F93),2))</f>
        <v/>
      </c>
      <c r="I93" s="13" t="n"/>
      <c r="J93" s="13" t="n"/>
      <c r="K93" s="9">
        <f>IFERROR(IF(VLOOKUP(D93,SKUs!$A$2:$G$34,7,FALSE)="","",VLOOKUP(D93,SKUs!$A$2:$G$34,7,FALSE)),"")</f>
        <v/>
      </c>
      <c r="L93" s="9">
        <f>IF(K93="","",ROUND(K93*(1-F93),2))</f>
        <v/>
      </c>
      <c r="M93" s="13" t="n"/>
      <c r="N93" s="13" t="n"/>
    </row>
    <row r="94">
      <c r="A94" s="8" t="inlineStr">
        <is>
          <t>Master Black</t>
        </is>
      </c>
      <c r="B94" s="11" t="n">
        <v>46353</v>
      </c>
      <c r="C94" s="11" t="n">
        <v>46353</v>
      </c>
      <c r="D94" s="8" t="inlineStr">
        <is>
          <t>L2460-AML</t>
        </is>
      </c>
      <c r="E94" s="8" t="inlineStr">
        <is>
          <t>A</t>
        </is>
      </c>
      <c r="F94" s="12" t="n">
        <v>0.05</v>
      </c>
      <c r="G94" s="9">
        <f>IFERROR(IF(VLOOKUP(D94,SKUs!$A$2:$G$34,6,FALSE)="","",VLOOKUP(D94,SKUs!$A$2:$G$34,6,FALSE)),"")</f>
        <v/>
      </c>
      <c r="H94" s="9">
        <f>IF(G94="","",ROUND(G94*(1-F94),2))</f>
        <v/>
      </c>
      <c r="I94" s="13" t="n"/>
      <c r="J94" s="13" t="n"/>
      <c r="K94" s="9">
        <f>IFERROR(IF(VLOOKUP(D94,SKUs!$A$2:$G$34,7,FALSE)="","",VLOOKUP(D94,SKUs!$A$2:$G$34,7,FALSE)),"")</f>
        <v/>
      </c>
      <c r="L94" s="9">
        <f>IF(K94="","",ROUND(K94*(1-F94),2))</f>
        <v/>
      </c>
      <c r="M94" s="13" t="n"/>
      <c r="N94" s="13" t="n"/>
    </row>
    <row r="95">
      <c r="A95" s="8" t="inlineStr">
        <is>
          <t>Master Black</t>
        </is>
      </c>
      <c r="B95" s="11" t="n">
        <v>46353</v>
      </c>
      <c r="C95" s="11" t="n">
        <v>46353</v>
      </c>
      <c r="D95" s="8" t="inlineStr">
        <is>
          <t>L3060-AML</t>
        </is>
      </c>
      <c r="E95" s="8" t="inlineStr">
        <is>
          <t>A</t>
        </is>
      </c>
      <c r="F95" s="12" t="n">
        <v>0.05</v>
      </c>
      <c r="G95" s="9">
        <f>IFERROR(IF(VLOOKUP(D95,SKUs!$A$2:$G$34,6,FALSE)="","",VLOOKUP(D95,SKUs!$A$2:$G$34,6,FALSE)),"")</f>
        <v/>
      </c>
      <c r="H95" s="9">
        <f>IF(G95="","",ROUND(G95*(1-F95),2))</f>
        <v/>
      </c>
      <c r="I95" s="13" t="n"/>
      <c r="J95" s="13" t="n"/>
      <c r="K95" s="9">
        <f>IFERROR(IF(VLOOKUP(D95,SKUs!$A$2:$G$34,7,FALSE)="","",VLOOKUP(D95,SKUs!$A$2:$G$34,7,FALSE)),"")</f>
        <v/>
      </c>
      <c r="L95" s="9">
        <f>IF(K95="","",ROUND(K95*(1-F95),2))</f>
        <v/>
      </c>
      <c r="M95" s="13" t="n"/>
      <c r="N95" s="13" t="n"/>
    </row>
    <row r="96">
      <c r="A96" s="8" t="inlineStr">
        <is>
          <t>Master Black</t>
        </is>
      </c>
      <c r="B96" s="11" t="n">
        <v>46353</v>
      </c>
      <c r="C96" s="11" t="n">
        <v>46353</v>
      </c>
      <c r="D96" s="8" t="inlineStr">
        <is>
          <t>Q3060-B</t>
        </is>
      </c>
      <c r="E96" s="8" t="inlineStr">
        <is>
          <t>A</t>
        </is>
      </c>
      <c r="F96" s="12" t="n">
        <v>0.05</v>
      </c>
      <c r="G96" s="9">
        <f>IFERROR(IF(VLOOKUP(D96,SKUs!$A$2:$G$34,6,FALSE)="","",VLOOKUP(D96,SKUs!$A$2:$G$34,6,FALSE)),"")</f>
        <v/>
      </c>
      <c r="H96" s="9">
        <f>IF(G96="","",ROUND(G96*(1-F96),2))</f>
        <v/>
      </c>
      <c r="I96" s="13" t="n"/>
      <c r="J96" s="13" t="n"/>
      <c r="K96" s="9">
        <f>IFERROR(IF(VLOOKUP(D96,SKUs!$A$2:$G$34,7,FALSE)="","",VLOOKUP(D96,SKUs!$A$2:$G$34,7,FALSE)),"")</f>
        <v/>
      </c>
      <c r="L96" s="9">
        <f>IF(K96="","",ROUND(K96*(1-F96),2))</f>
        <v/>
      </c>
      <c r="M96" s="13" t="n"/>
      <c r="N96" s="13" t="n"/>
    </row>
    <row r="97">
      <c r="A97" s="8" t="inlineStr">
        <is>
          <t>Master Black</t>
        </is>
      </c>
      <c r="B97" s="11" t="n">
        <v>46353</v>
      </c>
      <c r="C97" s="11" t="n">
        <v>46353</v>
      </c>
      <c r="D97" s="8" t="inlineStr">
        <is>
          <t>L2025-T</t>
        </is>
      </c>
      <c r="E97" s="8" t="inlineStr">
        <is>
          <t>A</t>
        </is>
      </c>
      <c r="F97" s="12" t="n">
        <v>0.05</v>
      </c>
      <c r="G97" s="9">
        <f>IFERROR(IF(VLOOKUP(D97,SKUs!$A$2:$G$34,6,FALSE)="","",VLOOKUP(D97,SKUs!$A$2:$G$34,6,FALSE)),"")</f>
        <v/>
      </c>
      <c r="H97" s="9">
        <f>IF(G97="","",ROUND(G97*(1-F97),2))</f>
        <v/>
      </c>
      <c r="I97" s="13" t="n"/>
      <c r="J97" s="13" t="n"/>
      <c r="K97" s="9">
        <f>IFERROR(IF(VLOOKUP(D97,SKUs!$A$2:$G$34,7,FALSE)="","",VLOOKUP(D97,SKUs!$A$2:$G$34,7,FALSE)),"")</f>
        <v/>
      </c>
      <c r="L97" s="9">
        <f>IF(K97="","",ROUND(K97*(1-F97),2))</f>
        <v/>
      </c>
      <c r="M97" s="13" t="n"/>
      <c r="N97" s="13" t="n"/>
    </row>
    <row r="98">
      <c r="A98" s="8" t="inlineStr">
        <is>
          <t>Master Black</t>
        </is>
      </c>
      <c r="B98" s="11" t="n">
        <v>46353</v>
      </c>
      <c r="C98" s="11" t="n">
        <v>46353</v>
      </c>
      <c r="D98" s="8" t="inlineStr">
        <is>
          <t>EMB-03</t>
        </is>
      </c>
      <c r="E98" s="8" t="inlineStr">
        <is>
          <t>Queima</t>
        </is>
      </c>
      <c r="F98" s="12" t="n">
        <v>0.15</v>
      </c>
      <c r="G98" s="9">
        <f>IFERROR(IF(VLOOKUP(D98,SKUs!$A$2:$G$34,6,FALSE)="","",VLOOKUP(D98,SKUs!$A$2:$G$34,6,FALSE)),"")</f>
        <v/>
      </c>
      <c r="H98" s="9">
        <f>IF(G98="","",ROUND(G98*(1-F98),2))</f>
        <v/>
      </c>
      <c r="I98" s="13" t="n"/>
      <c r="J98" s="13" t="n"/>
      <c r="K98" s="9">
        <f>IFERROR(IF(VLOOKUP(D98,SKUs!$A$2:$G$34,7,FALSE)="","",VLOOKUP(D98,SKUs!$A$2:$G$34,7,FALSE)),"")</f>
        <v/>
      </c>
      <c r="L98" s="9">
        <f>IF(K98="","",ROUND(K98*(1-F98),2))</f>
        <v/>
      </c>
      <c r="M98" s="13" t="n"/>
      <c r="N98" s="13" t="n"/>
    </row>
    <row r="99">
      <c r="A99" s="8" t="inlineStr">
        <is>
          <t>Master Black</t>
        </is>
      </c>
      <c r="B99" s="11" t="n">
        <v>46353</v>
      </c>
      <c r="C99" s="11" t="n">
        <v>46353</v>
      </c>
      <c r="D99" s="8" t="inlineStr">
        <is>
          <t>EMB-05</t>
        </is>
      </c>
      <c r="E99" s="8" t="inlineStr">
        <is>
          <t>Queima</t>
        </is>
      </c>
      <c r="F99" s="12" t="n">
        <v>0.15</v>
      </c>
      <c r="G99" s="9">
        <f>IFERROR(IF(VLOOKUP(D99,SKUs!$A$2:$G$34,6,FALSE)="","",VLOOKUP(D99,SKUs!$A$2:$G$34,6,FALSE)),"")</f>
        <v/>
      </c>
      <c r="H99" s="9">
        <f>IF(G99="","",ROUND(G99*(1-F99),2))</f>
        <v/>
      </c>
      <c r="I99" s="13" t="n"/>
      <c r="J99" s="13" t="n"/>
      <c r="K99" s="9">
        <f>IFERROR(IF(VLOOKUP(D99,SKUs!$A$2:$G$34,7,FALSE)="","",VLOOKUP(D99,SKUs!$A$2:$G$34,7,FALSE)),"")</f>
        <v/>
      </c>
      <c r="L99" s="9">
        <f>IF(K99="","",ROUND(K99*(1-F99),2))</f>
        <v/>
      </c>
      <c r="M99" s="13" t="n"/>
      <c r="N99" s="13" t="n"/>
    </row>
    <row r="100">
      <c r="A100" s="8" t="inlineStr">
        <is>
          <t>Master Black</t>
        </is>
      </c>
      <c r="B100" s="11" t="n">
        <v>46353</v>
      </c>
      <c r="C100" s="11" t="n">
        <v>46353</v>
      </c>
      <c r="D100" s="8" t="inlineStr">
        <is>
          <t>EMB-08</t>
        </is>
      </c>
      <c r="E100" s="8" t="inlineStr">
        <is>
          <t>Queima</t>
        </is>
      </c>
      <c r="F100" s="12" t="n">
        <v>0.15</v>
      </c>
      <c r="G100" s="9">
        <f>IFERROR(IF(VLOOKUP(D100,SKUs!$A$2:$G$34,6,FALSE)="","",VLOOKUP(D100,SKUs!$A$2:$G$34,6,FALSE)),"")</f>
        <v/>
      </c>
      <c r="H100" s="9">
        <f>IF(G100="","",ROUND(G100*(1-F100),2))</f>
        <v/>
      </c>
      <c r="I100" s="13" t="n"/>
      <c r="J100" s="13" t="n"/>
      <c r="K100" s="9">
        <f>IFERROR(IF(VLOOKUP(D100,SKUs!$A$2:$G$34,7,FALSE)="","",VLOOKUP(D100,SKUs!$A$2:$G$34,7,FALSE)),"")</f>
        <v/>
      </c>
      <c r="L100" s="9">
        <f>IF(K100="","",ROUND(K100*(1-F100),2))</f>
        <v/>
      </c>
      <c r="M100" s="13" t="n"/>
      <c r="N100" s="13" t="n"/>
    </row>
    <row r="101">
      <c r="A101" s="8" t="inlineStr">
        <is>
          <t>Pós-Black</t>
        </is>
      </c>
      <c r="B101" s="11" t="n">
        <v>46354</v>
      </c>
      <c r="C101" s="11" t="n">
        <v>46356</v>
      </c>
      <c r="D101" s="8" t="inlineStr">
        <is>
          <t>PL-SD</t>
        </is>
      </c>
      <c r="E101" s="8" t="inlineStr">
        <is>
          <t>C</t>
        </is>
      </c>
      <c r="F101" s="12" t="n">
        <v>0.07000000000000001</v>
      </c>
      <c r="G101" s="9">
        <f>IFERROR(IF(VLOOKUP(D101,SKUs!$A$2:$G$34,6,FALSE)="","",VLOOKUP(D101,SKUs!$A$2:$G$34,6,FALSE)),"")</f>
        <v/>
      </c>
      <c r="H101" s="9">
        <f>IF(G101="","",ROUND(G101*(1-F101),2))</f>
        <v/>
      </c>
      <c r="I101" s="13" t="n"/>
      <c r="J101" s="13" t="n"/>
      <c r="K101" s="9">
        <f>IFERROR(IF(VLOOKUP(D101,SKUs!$A$2:$G$34,7,FALSE)="","",VLOOKUP(D101,SKUs!$A$2:$G$34,7,FALSE)),"")</f>
        <v/>
      </c>
      <c r="L101" s="9">
        <f>IF(K101="","",ROUND(K101*(1-F101),2))</f>
        <v/>
      </c>
      <c r="M101" s="13" t="n"/>
      <c r="N101" s="13" t="n"/>
    </row>
    <row r="102">
      <c r="A102" s="8" t="inlineStr">
        <is>
          <t>Pós-Black</t>
        </is>
      </c>
      <c r="B102" s="11" t="n">
        <v>46354</v>
      </c>
      <c r="C102" s="11" t="n">
        <v>46356</v>
      </c>
      <c r="D102" s="8" t="inlineStr">
        <is>
          <t>PQ-4070</t>
        </is>
      </c>
      <c r="E102" s="8" t="inlineStr">
        <is>
          <t>C</t>
        </is>
      </c>
      <c r="F102" s="12" t="n">
        <v>0.07000000000000001</v>
      </c>
      <c r="G102" s="9">
        <f>IFERROR(IF(VLOOKUP(D102,SKUs!$A$2:$G$34,6,FALSE)="","",VLOOKUP(D102,SKUs!$A$2:$G$34,6,FALSE)),"")</f>
        <v/>
      </c>
      <c r="H102" s="9">
        <f>IF(G102="","",ROUND(G102*(1-F102),2))</f>
        <v/>
      </c>
      <c r="I102" s="13" t="n"/>
      <c r="J102" s="13" t="n"/>
      <c r="K102" s="9">
        <f>IFERROR(IF(VLOOKUP(D102,SKUs!$A$2:$G$34,7,FALSE)="","",VLOOKUP(D102,SKUs!$A$2:$G$34,7,FALSE)),"")</f>
        <v/>
      </c>
      <c r="L102" s="9">
        <f>IF(K102="","",ROUND(K102*(1-F102),2))</f>
        <v/>
      </c>
      <c r="M102" s="13" t="n"/>
      <c r="N102" s="13" t="n"/>
    </row>
    <row r="103">
      <c r="A103" s="8" t="inlineStr">
        <is>
          <t>Pós-Black</t>
        </is>
      </c>
      <c r="B103" s="11" t="n">
        <v>46354</v>
      </c>
      <c r="C103" s="11" t="n">
        <v>46356</v>
      </c>
      <c r="D103" s="8" t="inlineStr">
        <is>
          <t>L4070-B</t>
        </is>
      </c>
      <c r="E103" s="8" t="inlineStr">
        <is>
          <t>C</t>
        </is>
      </c>
      <c r="F103" s="12" t="n">
        <v>0.07000000000000001</v>
      </c>
      <c r="G103" s="9">
        <f>IFERROR(IF(VLOOKUP(D103,SKUs!$A$2:$G$34,6,FALSE)="","",VLOOKUP(D103,SKUs!$A$2:$G$34,6,FALSE)),"")</f>
        <v/>
      </c>
      <c r="H103" s="9">
        <f>IF(G103="","",ROUND(G103*(1-F103),2))</f>
        <v/>
      </c>
      <c r="I103" s="13" t="n"/>
      <c r="J103" s="13" t="n"/>
      <c r="K103" s="9">
        <f>IFERROR(IF(VLOOKUP(D103,SKUs!$A$2:$G$34,7,FALSE)="","",VLOOKUP(D103,SKUs!$A$2:$G$34,7,FALSE)),"")</f>
        <v/>
      </c>
      <c r="L103" s="9">
        <f>IF(K103="","",ROUND(K103*(1-F103),2))</f>
        <v/>
      </c>
      <c r="M103" s="13" t="n"/>
      <c r="N103" s="13" t="n"/>
    </row>
    <row r="104">
      <c r="A104" s="8" t="inlineStr">
        <is>
          <t>Pós-Black</t>
        </is>
      </c>
      <c r="B104" s="11" t="n">
        <v>46354</v>
      </c>
      <c r="C104" s="11" t="n">
        <v>46356</v>
      </c>
      <c r="D104" s="8" t="inlineStr">
        <is>
          <t>L3060-CP</t>
        </is>
      </c>
      <c r="E104" s="8" t="inlineStr">
        <is>
          <t>C</t>
        </is>
      </c>
      <c r="F104" s="12" t="n">
        <v>0.07000000000000001</v>
      </c>
      <c r="G104" s="9">
        <f>IFERROR(IF(VLOOKUP(D104,SKUs!$A$2:$G$34,6,FALSE)="","",VLOOKUP(D104,SKUs!$A$2:$G$34,6,FALSE)),"")</f>
        <v/>
      </c>
      <c r="H104" s="9">
        <f>IF(G104="","",ROUND(G104*(1-F104),2))</f>
        <v/>
      </c>
      <c r="I104" s="13" t="n"/>
      <c r="J104" s="13" t="n"/>
      <c r="K104" s="9">
        <f>IFERROR(IF(VLOOKUP(D104,SKUs!$A$2:$G$34,7,FALSE)="","",VLOOKUP(D104,SKUs!$A$2:$G$34,7,FALSE)),"")</f>
        <v/>
      </c>
      <c r="L104" s="9">
        <f>IF(K104="","",ROUND(K104*(1-F104),2))</f>
        <v/>
      </c>
      <c r="M104" s="13" t="n"/>
      <c r="N104" s="13" t="n"/>
    </row>
    <row r="105">
      <c r="A105" s="8" t="inlineStr">
        <is>
          <t>Pós-Black</t>
        </is>
      </c>
      <c r="B105" s="11" t="n">
        <v>46354</v>
      </c>
      <c r="C105" s="11" t="n">
        <v>46356</v>
      </c>
      <c r="D105" s="8" t="inlineStr">
        <is>
          <t>P3060RA</t>
        </is>
      </c>
      <c r="E105" s="8" t="inlineStr">
        <is>
          <t>B</t>
        </is>
      </c>
      <c r="F105" s="12" t="n">
        <v>0.06</v>
      </c>
      <c r="G105" s="9">
        <f>IFERROR(IF(VLOOKUP(D105,SKUs!$A$2:$G$34,6,FALSE)="","",VLOOKUP(D105,SKUs!$A$2:$G$34,6,FALSE)),"")</f>
        <v/>
      </c>
      <c r="H105" s="9">
        <f>IF(G105="","",ROUND(G105*(1-F105),2))</f>
        <v/>
      </c>
      <c r="I105" s="13" t="n"/>
      <c r="J105" s="13" t="n"/>
      <c r="K105" s="9">
        <f>IFERROR(IF(VLOOKUP(D105,SKUs!$A$2:$G$34,7,FALSE)="","",VLOOKUP(D105,SKUs!$A$2:$G$34,7,FALSE)),"")</f>
        <v/>
      </c>
      <c r="L105" s="9">
        <f>IF(K105="","",ROUND(K105*(1-F105),2))</f>
        <v/>
      </c>
      <c r="M105" s="13" t="n"/>
      <c r="N105" s="13" t="n"/>
    </row>
    <row r="106">
      <c r="A106" s="8" t="inlineStr">
        <is>
          <t>Pós-Black</t>
        </is>
      </c>
      <c r="B106" s="11" t="n">
        <v>46354</v>
      </c>
      <c r="C106" s="11" t="n">
        <v>46356</v>
      </c>
      <c r="D106" s="8" t="inlineStr">
        <is>
          <t>P4080RA</t>
        </is>
      </c>
      <c r="E106" s="8" t="inlineStr">
        <is>
          <t>B</t>
        </is>
      </c>
      <c r="F106" s="12" t="n">
        <v>0.06</v>
      </c>
      <c r="G106" s="9">
        <f>IFERROR(IF(VLOOKUP(D106,SKUs!$A$2:$G$34,6,FALSE)="","",VLOOKUP(D106,SKUs!$A$2:$G$34,6,FALSE)),"")</f>
        <v/>
      </c>
      <c r="H106" s="9">
        <f>IF(G106="","",ROUND(G106*(1-F106),2))</f>
        <v/>
      </c>
      <c r="I106" s="13" t="n"/>
      <c r="J106" s="13" t="n"/>
      <c r="K106" s="9">
        <f>IFERROR(IF(VLOOKUP(D106,SKUs!$A$2:$G$34,7,FALSE)="","",VLOOKUP(D106,SKUs!$A$2:$G$34,7,FALSE)),"")</f>
        <v/>
      </c>
      <c r="L106" s="9">
        <f>IF(K106="","",ROUND(K106*(1-F106),2))</f>
        <v/>
      </c>
      <c r="M106" s="13" t="n"/>
      <c r="N106" s="13" t="n"/>
    </row>
    <row r="107">
      <c r="A107" s="8" t="inlineStr">
        <is>
          <t>Pós-Black</t>
        </is>
      </c>
      <c r="B107" s="11" t="n">
        <v>46354</v>
      </c>
      <c r="C107" s="11" t="n">
        <v>46356</v>
      </c>
      <c r="D107" s="8" t="inlineStr">
        <is>
          <t>EGC</t>
        </is>
      </c>
      <c r="E107" s="8" t="inlineStr">
        <is>
          <t>B</t>
        </is>
      </c>
      <c r="F107" s="12" t="n">
        <v>0.06</v>
      </c>
      <c r="G107" s="9">
        <f>IFERROR(IF(VLOOKUP(D107,SKUs!$A$2:$G$34,6,FALSE)="","",VLOOKUP(D107,SKUs!$A$2:$G$34,6,FALSE)),"")</f>
        <v/>
      </c>
      <c r="H107" s="9">
        <f>IF(G107="","",ROUND(G107*(1-F107),2))</f>
        <v/>
      </c>
      <c r="I107" s="13" t="n"/>
      <c r="J107" s="13" t="n"/>
      <c r="K107" s="9">
        <f>IFERROR(IF(VLOOKUP(D107,SKUs!$A$2:$G$34,7,FALSE)="","",VLOOKUP(D107,SKUs!$A$2:$G$34,7,FALSE)),"")</f>
        <v/>
      </c>
      <c r="L107" s="9">
        <f>IF(K107="","",ROUND(K107*(1-F107),2))</f>
        <v/>
      </c>
      <c r="M107" s="13" t="n"/>
      <c r="N107" s="13" t="n"/>
    </row>
    <row r="108">
      <c r="A108" s="8" t="inlineStr">
        <is>
          <t>Pós-Black</t>
        </is>
      </c>
      <c r="B108" s="11" t="n">
        <v>46354</v>
      </c>
      <c r="C108" s="11" t="n">
        <v>46356</v>
      </c>
      <c r="D108" s="8" t="inlineStr">
        <is>
          <t>P4070</t>
        </is>
      </c>
      <c r="E108" s="8" t="inlineStr">
        <is>
          <t>B</t>
        </is>
      </c>
      <c r="F108" s="12" t="n">
        <v>0.06</v>
      </c>
      <c r="G108" s="9">
        <f>IFERROR(IF(VLOOKUP(D108,SKUs!$A$2:$G$34,6,FALSE)="","",VLOOKUP(D108,SKUs!$A$2:$G$34,6,FALSE)),"")</f>
        <v/>
      </c>
      <c r="H108" s="9">
        <f>IF(G108="","",ROUND(G108*(1-F108),2))</f>
        <v/>
      </c>
      <c r="I108" s="13" t="n"/>
      <c r="J108" s="13" t="n"/>
      <c r="K108" s="9">
        <f>IFERROR(IF(VLOOKUP(D108,SKUs!$A$2:$G$34,7,FALSE)="","",VLOOKUP(D108,SKUs!$A$2:$G$34,7,FALSE)),"")</f>
        <v/>
      </c>
      <c r="L108" s="9">
        <f>IF(K108="","",ROUND(K108*(1-F108),2))</f>
        <v/>
      </c>
      <c r="M108" s="13" t="n"/>
      <c r="N108" s="13" t="n"/>
    </row>
    <row r="109">
      <c r="A109" s="8" t="inlineStr">
        <is>
          <t>Pós-Black</t>
        </is>
      </c>
      <c r="B109" s="11" t="n">
        <v>46354</v>
      </c>
      <c r="C109" s="11" t="n">
        <v>46356</v>
      </c>
      <c r="D109" s="8" t="inlineStr">
        <is>
          <t>L2440-B</t>
        </is>
      </c>
      <c r="E109" s="8" t="inlineStr">
        <is>
          <t>B</t>
        </is>
      </c>
      <c r="F109" s="12" t="n">
        <v>0.06</v>
      </c>
      <c r="G109" s="9">
        <f>IFERROR(IF(VLOOKUP(D109,SKUs!$A$2:$G$34,6,FALSE)="","",VLOOKUP(D109,SKUs!$A$2:$G$34,6,FALSE)),"")</f>
        <v/>
      </c>
      <c r="H109" s="9">
        <f>IF(G109="","",ROUND(G109*(1-F109),2))</f>
        <v/>
      </c>
      <c r="I109" s="13" t="n"/>
      <c r="J109" s="13" t="n"/>
      <c r="K109" s="9">
        <f>IFERROR(IF(VLOOKUP(D109,SKUs!$A$2:$G$34,7,FALSE)="","",VLOOKUP(D109,SKUs!$A$2:$G$34,7,FALSE)),"")</f>
        <v/>
      </c>
      <c r="L109" s="9">
        <f>IF(K109="","",ROUND(K109*(1-F109),2))</f>
        <v/>
      </c>
      <c r="M109" s="13" t="n"/>
      <c r="N109" s="13" t="n"/>
    </row>
    <row r="110">
      <c r="A110" s="8" t="inlineStr">
        <is>
          <t>Pós-Black</t>
        </is>
      </c>
      <c r="B110" s="11" t="n">
        <v>46354</v>
      </c>
      <c r="C110" s="11" t="n">
        <v>46356</v>
      </c>
      <c r="D110" s="8" t="inlineStr">
        <is>
          <t>L2430-B</t>
        </is>
      </c>
      <c r="E110" s="8" t="inlineStr">
        <is>
          <t>B</t>
        </is>
      </c>
      <c r="F110" s="12" t="n">
        <v>0.06</v>
      </c>
      <c r="G110" s="9">
        <f>IFERROR(IF(VLOOKUP(D110,SKUs!$A$2:$G$34,6,FALSE)="","",VLOOKUP(D110,SKUs!$A$2:$G$34,6,FALSE)),"")</f>
        <v/>
      </c>
      <c r="H110" s="9">
        <f>IF(G110="","",ROUND(G110*(1-F110),2))</f>
        <v/>
      </c>
      <c r="I110" s="13" t="n"/>
      <c r="J110" s="13" t="n"/>
      <c r="K110" s="9">
        <f>IFERROR(IF(VLOOKUP(D110,SKUs!$A$2:$G$34,7,FALSE)="","",VLOOKUP(D110,SKUs!$A$2:$G$34,7,FALSE)),"")</f>
        <v/>
      </c>
      <c r="L110" s="9">
        <f>IF(K110="","",ROUND(K110*(1-F110),2))</f>
        <v/>
      </c>
      <c r="M110" s="13" t="n"/>
      <c r="N110" s="13" t="n"/>
    </row>
    <row r="111">
      <c r="A111" s="8" t="inlineStr">
        <is>
          <t>Pós-Black</t>
        </is>
      </c>
      <c r="B111" s="11" t="n">
        <v>46354</v>
      </c>
      <c r="C111" s="11" t="n">
        <v>46356</v>
      </c>
      <c r="D111" s="8" t="inlineStr">
        <is>
          <t>L2430-A</t>
        </is>
      </c>
      <c r="E111" s="8" t="inlineStr">
        <is>
          <t>B</t>
        </is>
      </c>
      <c r="F111" s="12" t="n">
        <v>0.06</v>
      </c>
      <c r="G111" s="9">
        <f>IFERROR(IF(VLOOKUP(D111,SKUs!$A$2:$G$34,6,FALSE)="","",VLOOKUP(D111,SKUs!$A$2:$G$34,6,FALSE)),"")</f>
        <v/>
      </c>
      <c r="H111" s="9">
        <f>IF(G111="","",ROUND(G111*(1-F111),2))</f>
        <v/>
      </c>
      <c r="I111" s="13" t="n"/>
      <c r="J111" s="13" t="n"/>
      <c r="K111" s="9">
        <f>IFERROR(IF(VLOOKUP(D111,SKUs!$A$2:$G$34,7,FALSE)="","",VLOOKUP(D111,SKUs!$A$2:$G$34,7,FALSE)),"")</f>
        <v/>
      </c>
      <c r="L111" s="9">
        <f>IF(K111="","",ROUND(K111*(1-F111),2))</f>
        <v/>
      </c>
      <c r="M111" s="13" t="n"/>
      <c r="N111" s="13" t="n"/>
    </row>
    <row r="112">
      <c r="A112" s="8" t="inlineStr">
        <is>
          <t>Pós-Black</t>
        </is>
      </c>
      <c r="B112" s="11" t="n">
        <v>46354</v>
      </c>
      <c r="C112" s="11" t="n">
        <v>46356</v>
      </c>
      <c r="D112" s="8" t="inlineStr">
        <is>
          <t>L2450-A</t>
        </is>
      </c>
      <c r="E112" s="8" t="inlineStr">
        <is>
          <t>B</t>
        </is>
      </c>
      <c r="F112" s="12" t="n">
        <v>0.06</v>
      </c>
      <c r="G112" s="9">
        <f>IFERROR(IF(VLOOKUP(D112,SKUs!$A$2:$G$34,6,FALSE)="","",VLOOKUP(D112,SKUs!$A$2:$G$34,6,FALSE)),"")</f>
        <v/>
      </c>
      <c r="H112" s="9">
        <f>IF(G112="","",ROUND(G112*(1-F112),2))</f>
        <v/>
      </c>
      <c r="I112" s="13" t="n"/>
      <c r="J112" s="13" t="n"/>
      <c r="K112" s="9">
        <f>IFERROR(IF(VLOOKUP(D112,SKUs!$A$2:$G$34,7,FALSE)="","",VLOOKUP(D112,SKUs!$A$2:$G$34,7,FALSE)),"")</f>
        <v/>
      </c>
      <c r="L112" s="9">
        <f>IF(K112="","",ROUND(K112*(1-F112),2))</f>
        <v/>
      </c>
      <c r="M112" s="13" t="n"/>
      <c r="N112" s="13" t="n"/>
    </row>
    <row r="113">
      <c r="A113" s="8" t="inlineStr">
        <is>
          <t>Pós-Black</t>
        </is>
      </c>
      <c r="B113" s="11" t="n">
        <v>46354</v>
      </c>
      <c r="C113" s="11" t="n">
        <v>46356</v>
      </c>
      <c r="D113" s="8" t="inlineStr">
        <is>
          <t>P2025</t>
        </is>
      </c>
      <c r="E113" s="8" t="inlineStr">
        <is>
          <t>B</t>
        </is>
      </c>
      <c r="F113" s="12" t="n">
        <v>0.06</v>
      </c>
      <c r="G113" s="9">
        <f>IFERROR(IF(VLOOKUP(D113,SKUs!$A$2:$G$34,6,FALSE)="","",VLOOKUP(D113,SKUs!$A$2:$G$34,6,FALSE)),"")</f>
        <v/>
      </c>
      <c r="H113" s="9">
        <f>IF(G113="","",ROUND(G113*(1-F113),2))</f>
        <v/>
      </c>
      <c r="I113" s="13" t="n"/>
      <c r="J113" s="13" t="n"/>
      <c r="K113" s="9">
        <f>IFERROR(IF(VLOOKUP(D113,SKUs!$A$2:$G$34,7,FALSE)="","",VLOOKUP(D113,SKUs!$A$2:$G$34,7,FALSE)),"")</f>
        <v/>
      </c>
      <c r="L113" s="9">
        <f>IF(K113="","",ROUND(K113*(1-F113),2))</f>
        <v/>
      </c>
      <c r="M113" s="13" t="n"/>
      <c r="N113" s="13" t="n"/>
    </row>
    <row r="114">
      <c r="A114" s="8" t="inlineStr">
        <is>
          <t>Pós-Black</t>
        </is>
      </c>
      <c r="B114" s="11" t="n">
        <v>46354</v>
      </c>
      <c r="C114" s="11" t="n">
        <v>46356</v>
      </c>
      <c r="D114" s="8" t="inlineStr">
        <is>
          <t>SP-F</t>
        </is>
      </c>
      <c r="E114" s="8" t="inlineStr">
        <is>
          <t>B</t>
        </is>
      </c>
      <c r="F114" s="12" t="n">
        <v>0.06</v>
      </c>
      <c r="G114" s="9">
        <f>IFERROR(IF(VLOOKUP(D114,SKUs!$A$2:$G$34,6,FALSE)="","",VLOOKUP(D114,SKUs!$A$2:$G$34,6,FALSE)),"")</f>
        <v/>
      </c>
      <c r="H114" s="9">
        <f>IF(G114="","",ROUND(G114*(1-F114),2))</f>
        <v/>
      </c>
      <c r="I114" s="13" t="n"/>
      <c r="J114" s="13" t="n"/>
      <c r="K114" s="9">
        <f>IFERROR(IF(VLOOKUP(D114,SKUs!$A$2:$G$34,7,FALSE)="","",VLOOKUP(D114,SKUs!$A$2:$G$34,7,FALSE)),"")</f>
        <v/>
      </c>
      <c r="L114" s="9">
        <f>IF(K114="","",ROUND(K114*(1-F114),2))</f>
        <v/>
      </c>
      <c r="M114" s="13" t="n"/>
      <c r="N114" s="13" t="n"/>
    </row>
    <row r="115">
      <c r="A115" s="8" t="inlineStr">
        <is>
          <t>Pós-Black</t>
        </is>
      </c>
      <c r="B115" s="11" t="n">
        <v>46354</v>
      </c>
      <c r="C115" s="11" t="n">
        <v>46356</v>
      </c>
      <c r="D115" s="8" t="inlineStr">
        <is>
          <t>SP-T</t>
        </is>
      </c>
      <c r="E115" s="8" t="inlineStr">
        <is>
          <t>B</t>
        </is>
      </c>
      <c r="F115" s="12" t="n">
        <v>0.06</v>
      </c>
      <c r="G115" s="9">
        <f>IFERROR(IF(VLOOKUP(D115,SKUs!$A$2:$G$34,6,FALSE)="","",VLOOKUP(D115,SKUs!$A$2:$G$34,6,FALSE)),"")</f>
        <v/>
      </c>
      <c r="H115" s="9">
        <f>IF(G115="","",ROUND(G115*(1-F115),2))</f>
        <v/>
      </c>
      <c r="I115" s="13" t="n"/>
      <c r="J115" s="13" t="n"/>
      <c r="K115" s="9">
        <f>IFERROR(IF(VLOOKUP(D115,SKUs!$A$2:$G$34,7,FALSE)="","",VLOOKUP(D115,SKUs!$A$2:$G$34,7,FALSE)),"")</f>
        <v/>
      </c>
      <c r="L115" s="9">
        <f>IF(K115="","",ROUND(K115*(1-F115),2))</f>
        <v/>
      </c>
      <c r="M115" s="13" t="n"/>
      <c r="N115" s="13" t="n"/>
    </row>
    <row r="116">
      <c r="A116" s="8" t="inlineStr">
        <is>
          <t>Pós-Black</t>
        </is>
      </c>
      <c r="B116" s="11" t="n">
        <v>46354</v>
      </c>
      <c r="C116" s="11" t="n">
        <v>46356</v>
      </c>
      <c r="D116" s="8" t="inlineStr">
        <is>
          <t>PG3070</t>
        </is>
      </c>
      <c r="E116" s="8" t="inlineStr">
        <is>
          <t>B</t>
        </is>
      </c>
      <c r="F116" s="12" t="n">
        <v>0.06</v>
      </c>
      <c r="G116" s="9">
        <f>IFERROR(IF(VLOOKUP(D116,SKUs!$A$2:$G$34,6,FALSE)="","",VLOOKUP(D116,SKUs!$A$2:$G$34,6,FALSE)),"")</f>
        <v/>
      </c>
      <c r="H116" s="9">
        <f>IF(G116="","",ROUND(G116*(1-F116),2))</f>
        <v/>
      </c>
      <c r="I116" s="13" t="n"/>
      <c r="J116" s="13" t="n"/>
      <c r="K116" s="9">
        <f>IFERROR(IF(VLOOKUP(D116,SKUs!$A$2:$G$34,7,FALSE)="","",VLOOKUP(D116,SKUs!$A$2:$G$34,7,FALSE)),"")</f>
        <v/>
      </c>
      <c r="L116" s="9">
        <f>IF(K116="","",ROUND(K116*(1-F116),2))</f>
        <v/>
      </c>
      <c r="M116" s="13" t="n"/>
      <c r="N116" s="13" t="n"/>
    </row>
    <row r="117">
      <c r="A117" s="8" t="inlineStr">
        <is>
          <t>Pós-Black</t>
        </is>
      </c>
      <c r="B117" s="11" t="n">
        <v>46354</v>
      </c>
      <c r="C117" s="11" t="n">
        <v>46356</v>
      </c>
      <c r="D117" s="8" t="inlineStr">
        <is>
          <t>PQ-3060</t>
        </is>
      </c>
      <c r="E117" s="8" t="inlineStr">
        <is>
          <t>B</t>
        </is>
      </c>
      <c r="F117" s="12" t="n">
        <v>0.06</v>
      </c>
      <c r="G117" s="9">
        <f>IFERROR(IF(VLOOKUP(D117,SKUs!$A$2:$G$34,6,FALSE)="","",VLOOKUP(D117,SKUs!$A$2:$G$34,6,FALSE)),"")</f>
        <v/>
      </c>
      <c r="H117" s="9">
        <f>IF(G117="","",ROUND(G117*(1-F117),2))</f>
        <v/>
      </c>
      <c r="I117" s="13" t="n"/>
      <c r="J117" s="13" t="n"/>
      <c r="K117" s="9">
        <f>IFERROR(IF(VLOOKUP(D117,SKUs!$A$2:$G$34,7,FALSE)="","",VLOOKUP(D117,SKUs!$A$2:$G$34,7,FALSE)),"")</f>
        <v/>
      </c>
      <c r="L117" s="9">
        <f>IF(K117="","",ROUND(K117*(1-F117),2))</f>
        <v/>
      </c>
      <c r="M117" s="13" t="n"/>
      <c r="N117" s="13" t="n"/>
    </row>
    <row r="118">
      <c r="A118" s="8" t="inlineStr">
        <is>
          <t>Pós-Black</t>
        </is>
      </c>
      <c r="B118" s="11" t="n">
        <v>46354</v>
      </c>
      <c r="C118" s="11" t="n">
        <v>46356</v>
      </c>
      <c r="D118" s="8" t="inlineStr">
        <is>
          <t>PXP</t>
        </is>
      </c>
      <c r="E118" s="8" t="inlineStr">
        <is>
          <t>A</t>
        </is>
      </c>
      <c r="F118" s="12" t="n">
        <v>0.03</v>
      </c>
      <c r="G118" s="9">
        <f>IFERROR(IF(VLOOKUP(D118,SKUs!$A$2:$G$34,6,FALSE)="","",VLOOKUP(D118,SKUs!$A$2:$G$34,6,FALSE)),"")</f>
        <v/>
      </c>
      <c r="H118" s="9">
        <f>IF(G118="","",ROUND(G118*(1-F118),2))</f>
        <v/>
      </c>
      <c r="I118" s="13" t="n"/>
      <c r="J118" s="13" t="n"/>
      <c r="K118" s="9">
        <f>IFERROR(IF(VLOOKUP(D118,SKUs!$A$2:$G$34,7,FALSE)="","",VLOOKUP(D118,SKUs!$A$2:$G$34,7,FALSE)),"")</f>
        <v/>
      </c>
      <c r="L118" s="9">
        <f>IF(K118="","",ROUND(K118*(1-F118),2))</f>
        <v/>
      </c>
      <c r="M118" s="13" t="n"/>
      <c r="N118" s="13" t="n"/>
    </row>
    <row r="119">
      <c r="A119" s="8" t="inlineStr">
        <is>
          <t>Pós-Black</t>
        </is>
      </c>
      <c r="B119" s="11" t="n">
        <v>46354</v>
      </c>
      <c r="C119" s="11" t="n">
        <v>46356</v>
      </c>
      <c r="D119" s="8" t="inlineStr">
        <is>
          <t>PXM</t>
        </is>
      </c>
      <c r="E119" s="8" t="inlineStr">
        <is>
          <t>A</t>
        </is>
      </c>
      <c r="F119" s="12" t="n">
        <v>0.03</v>
      </c>
      <c r="G119" s="9">
        <f>IFERROR(IF(VLOOKUP(D119,SKUs!$A$2:$G$34,6,FALSE)="","",VLOOKUP(D119,SKUs!$A$2:$G$34,6,FALSE)),"")</f>
        <v/>
      </c>
      <c r="H119" s="9">
        <f>IF(G119="","",ROUND(G119*(1-F119),2))</f>
        <v/>
      </c>
      <c r="I119" s="13" t="n"/>
      <c r="J119" s="13" t="n"/>
      <c r="K119" s="9">
        <f>IFERROR(IF(VLOOKUP(D119,SKUs!$A$2:$G$34,7,FALSE)="","",VLOOKUP(D119,SKUs!$A$2:$G$34,7,FALSE)),"")</f>
        <v/>
      </c>
      <c r="L119" s="9">
        <f>IF(K119="","",ROUND(K119*(1-F119),2))</f>
        <v/>
      </c>
      <c r="M119" s="13" t="n"/>
      <c r="N119" s="13" t="n"/>
    </row>
    <row r="120">
      <c r="A120" s="8" t="inlineStr">
        <is>
          <t>Pós-Black</t>
        </is>
      </c>
      <c r="B120" s="11" t="n">
        <v>46354</v>
      </c>
      <c r="C120" s="11" t="n">
        <v>46356</v>
      </c>
      <c r="D120" s="8" t="inlineStr">
        <is>
          <t>SP-01</t>
        </is>
      </c>
      <c r="E120" s="8" t="inlineStr">
        <is>
          <t>A</t>
        </is>
      </c>
      <c r="F120" s="12" t="n">
        <v>0.03</v>
      </c>
      <c r="G120" s="9">
        <f>IFERROR(IF(VLOOKUP(D120,SKUs!$A$2:$G$34,6,FALSE)="","",VLOOKUP(D120,SKUs!$A$2:$G$34,6,FALSE)),"")</f>
        <v/>
      </c>
      <c r="H120" s="9">
        <f>IF(G120="","",ROUND(G120*(1-F120),2))</f>
        <v/>
      </c>
      <c r="I120" s="13" t="n"/>
      <c r="J120" s="13" t="n"/>
      <c r="K120" s="9">
        <f>IFERROR(IF(VLOOKUP(D120,SKUs!$A$2:$G$34,7,FALSE)="","",VLOOKUP(D120,SKUs!$A$2:$G$34,7,FALSE)),"")</f>
        <v/>
      </c>
      <c r="L120" s="9">
        <f>IF(K120="","",ROUND(K120*(1-F120),2))</f>
        <v/>
      </c>
      <c r="M120" s="13" t="n"/>
      <c r="N120" s="13" t="n"/>
    </row>
    <row r="121">
      <c r="A121" s="8" t="inlineStr">
        <is>
          <t>Pós-Black</t>
        </is>
      </c>
      <c r="B121" s="11" t="n">
        <v>46354</v>
      </c>
      <c r="C121" s="11" t="n">
        <v>46356</v>
      </c>
      <c r="D121" s="8" t="inlineStr">
        <is>
          <t>P3060</t>
        </is>
      </c>
      <c r="E121" s="8" t="inlineStr">
        <is>
          <t>A</t>
        </is>
      </c>
      <c r="F121" s="12" t="n">
        <v>0.03</v>
      </c>
      <c r="G121" s="9">
        <f>IFERROR(IF(VLOOKUP(D121,SKUs!$A$2:$G$34,6,FALSE)="","",VLOOKUP(D121,SKUs!$A$2:$G$34,6,FALSE)),"")</f>
        <v/>
      </c>
      <c r="H121" s="9">
        <f>IF(G121="","",ROUND(G121*(1-F121),2))</f>
        <v/>
      </c>
      <c r="I121" s="13" t="n"/>
      <c r="J121" s="13" t="n"/>
      <c r="K121" s="9">
        <f>IFERROR(IF(VLOOKUP(D121,SKUs!$A$2:$G$34,7,FALSE)="","",VLOOKUP(D121,SKUs!$A$2:$G$34,7,FALSE)),"")</f>
        <v/>
      </c>
      <c r="L121" s="9">
        <f>IF(K121="","",ROUND(K121*(1-F121),2))</f>
        <v/>
      </c>
      <c r="M121" s="13" t="n"/>
      <c r="N121" s="13" t="n"/>
    </row>
    <row r="122">
      <c r="A122" s="8" t="inlineStr">
        <is>
          <t>Pós-Black</t>
        </is>
      </c>
      <c r="B122" s="11" t="n">
        <v>46354</v>
      </c>
      <c r="C122" s="11" t="n">
        <v>46356</v>
      </c>
      <c r="D122" s="8" t="inlineStr">
        <is>
          <t>P4080</t>
        </is>
      </c>
      <c r="E122" s="8" t="inlineStr">
        <is>
          <t>A</t>
        </is>
      </c>
      <c r="F122" s="12" t="n">
        <v>0.03</v>
      </c>
      <c r="G122" s="9">
        <f>IFERROR(IF(VLOOKUP(D122,SKUs!$A$2:$G$34,6,FALSE)="","",VLOOKUP(D122,SKUs!$A$2:$G$34,6,FALSE)),"")</f>
        <v/>
      </c>
      <c r="H122" s="9">
        <f>IF(G122="","",ROUND(G122*(1-F122),2))</f>
        <v/>
      </c>
      <c r="I122" s="13" t="n"/>
      <c r="J122" s="13" t="n"/>
      <c r="K122" s="9">
        <f>IFERROR(IF(VLOOKUP(D122,SKUs!$A$2:$G$34,7,FALSE)="","",VLOOKUP(D122,SKUs!$A$2:$G$34,7,FALSE)),"")</f>
        <v/>
      </c>
      <c r="L122" s="9">
        <f>IF(K122="","",ROUND(K122*(1-F122),2))</f>
        <v/>
      </c>
      <c r="M122" s="13" t="n"/>
      <c r="N122" s="13" t="n"/>
    </row>
    <row r="123">
      <c r="A123" s="8" t="inlineStr">
        <is>
          <t>Pós-Black</t>
        </is>
      </c>
      <c r="B123" s="11" t="n">
        <v>46354</v>
      </c>
      <c r="C123" s="11" t="n">
        <v>46356</v>
      </c>
      <c r="D123" s="8" t="inlineStr">
        <is>
          <t>P3070</t>
        </is>
      </c>
      <c r="E123" s="8" t="inlineStr">
        <is>
          <t>A</t>
        </is>
      </c>
      <c r="F123" s="12" t="n">
        <v>0.03</v>
      </c>
      <c r="G123" s="9">
        <f>IFERROR(IF(VLOOKUP(D123,SKUs!$A$2:$G$34,6,FALSE)="","",VLOOKUP(D123,SKUs!$A$2:$G$34,6,FALSE)),"")</f>
        <v/>
      </c>
      <c r="H123" s="9">
        <f>IF(G123="","",ROUND(G123*(1-F123),2))</f>
        <v/>
      </c>
      <c r="I123" s="13" t="n"/>
      <c r="J123" s="13" t="n"/>
      <c r="K123" s="9">
        <f>IFERROR(IF(VLOOKUP(D123,SKUs!$A$2:$G$34,7,FALSE)="","",VLOOKUP(D123,SKUs!$A$2:$G$34,7,FALSE)),"")</f>
        <v/>
      </c>
      <c r="L123" s="9">
        <f>IF(K123="","",ROUND(K123*(1-F123),2))</f>
        <v/>
      </c>
      <c r="M123" s="13" t="n"/>
      <c r="N123" s="13" t="n"/>
    </row>
    <row r="124">
      <c r="A124" s="8" t="inlineStr">
        <is>
          <t>Pós-Black</t>
        </is>
      </c>
      <c r="B124" s="11" t="n">
        <v>46354</v>
      </c>
      <c r="C124" s="11" t="n">
        <v>46356</v>
      </c>
      <c r="D124" s="8" t="inlineStr">
        <is>
          <t>P2440</t>
        </is>
      </c>
      <c r="E124" s="8" t="inlineStr">
        <is>
          <t>A</t>
        </is>
      </c>
      <c r="F124" s="12" t="n">
        <v>0.03</v>
      </c>
      <c r="G124" s="9">
        <f>IFERROR(IF(VLOOKUP(D124,SKUs!$A$2:$G$34,6,FALSE)="","",VLOOKUP(D124,SKUs!$A$2:$G$34,6,FALSE)),"")</f>
        <v/>
      </c>
      <c r="H124" s="9">
        <f>IF(G124="","",ROUND(G124*(1-F124),2))</f>
        <v/>
      </c>
      <c r="I124" s="13" t="n"/>
      <c r="J124" s="13" t="n"/>
      <c r="K124" s="9">
        <f>IFERROR(IF(VLOOKUP(D124,SKUs!$A$2:$G$34,7,FALSE)="","",VLOOKUP(D124,SKUs!$A$2:$G$34,7,FALSE)),"")</f>
        <v/>
      </c>
      <c r="L124" s="9">
        <f>IF(K124="","",ROUND(K124*(1-F124),2))</f>
        <v/>
      </c>
      <c r="M124" s="13" t="n"/>
      <c r="N124" s="13" t="n"/>
    </row>
    <row r="125">
      <c r="A125" s="8" t="inlineStr">
        <is>
          <t>Pós-Black</t>
        </is>
      </c>
      <c r="B125" s="11" t="n">
        <v>46354</v>
      </c>
      <c r="C125" s="11" t="n">
        <v>46356</v>
      </c>
      <c r="D125" s="8" t="inlineStr">
        <is>
          <t>L2470-CZ</t>
        </is>
      </c>
      <c r="E125" s="8" t="inlineStr">
        <is>
          <t>A</t>
        </is>
      </c>
      <c r="F125" s="12" t="n">
        <v>0.03</v>
      </c>
      <c r="G125" s="9">
        <f>IFERROR(IF(VLOOKUP(D125,SKUs!$A$2:$G$34,6,FALSE)="","",VLOOKUP(D125,SKUs!$A$2:$G$34,6,FALSE)),"")</f>
        <v/>
      </c>
      <c r="H125" s="9">
        <f>IF(G125="","",ROUND(G125*(1-F125),2))</f>
        <v/>
      </c>
      <c r="I125" s="13" t="n"/>
      <c r="J125" s="13" t="n"/>
      <c r="K125" s="9">
        <f>IFERROR(IF(VLOOKUP(D125,SKUs!$A$2:$G$34,7,FALSE)="","",VLOOKUP(D125,SKUs!$A$2:$G$34,7,FALSE)),"")</f>
        <v/>
      </c>
      <c r="L125" s="9">
        <f>IF(K125="","",ROUND(K125*(1-F125),2))</f>
        <v/>
      </c>
      <c r="M125" s="13" t="n"/>
      <c r="N125" s="13" t="n"/>
    </row>
    <row r="126">
      <c r="A126" s="8" t="inlineStr">
        <is>
          <t>Pós-Black</t>
        </is>
      </c>
      <c r="B126" s="11" t="n">
        <v>46354</v>
      </c>
      <c r="C126" s="11" t="n">
        <v>46356</v>
      </c>
      <c r="D126" s="8" t="inlineStr">
        <is>
          <t>L2440-AML</t>
        </is>
      </c>
      <c r="E126" s="8" t="inlineStr">
        <is>
          <t>A</t>
        </is>
      </c>
      <c r="F126" s="12" t="n">
        <v>0.03</v>
      </c>
      <c r="G126" s="9">
        <f>IFERROR(IF(VLOOKUP(D126,SKUs!$A$2:$G$34,6,FALSE)="","",VLOOKUP(D126,SKUs!$A$2:$G$34,6,FALSE)),"")</f>
        <v/>
      </c>
      <c r="H126" s="9">
        <f>IF(G126="","",ROUND(G126*(1-F126),2))</f>
        <v/>
      </c>
      <c r="I126" s="13" t="n"/>
      <c r="J126" s="13" t="n"/>
      <c r="K126" s="9">
        <f>IFERROR(IF(VLOOKUP(D126,SKUs!$A$2:$G$34,7,FALSE)="","",VLOOKUP(D126,SKUs!$A$2:$G$34,7,FALSE)),"")</f>
        <v/>
      </c>
      <c r="L126" s="9">
        <f>IF(K126="","",ROUND(K126*(1-F126),2))</f>
        <v/>
      </c>
      <c r="M126" s="13" t="n"/>
      <c r="N126" s="13" t="n"/>
    </row>
    <row r="127">
      <c r="A127" s="8" t="inlineStr">
        <is>
          <t>Pós-Black</t>
        </is>
      </c>
      <c r="B127" s="11" t="n">
        <v>46354</v>
      </c>
      <c r="C127" s="11" t="n">
        <v>46356</v>
      </c>
      <c r="D127" s="8" t="inlineStr">
        <is>
          <t>L2460-AML</t>
        </is>
      </c>
      <c r="E127" s="8" t="inlineStr">
        <is>
          <t>A</t>
        </is>
      </c>
      <c r="F127" s="12" t="n">
        <v>0.03</v>
      </c>
      <c r="G127" s="9">
        <f>IFERROR(IF(VLOOKUP(D127,SKUs!$A$2:$G$34,6,FALSE)="","",VLOOKUP(D127,SKUs!$A$2:$G$34,6,FALSE)),"")</f>
        <v/>
      </c>
      <c r="H127" s="9">
        <f>IF(G127="","",ROUND(G127*(1-F127),2))</f>
        <v/>
      </c>
      <c r="I127" s="13" t="n"/>
      <c r="J127" s="13" t="n"/>
      <c r="K127" s="9">
        <f>IFERROR(IF(VLOOKUP(D127,SKUs!$A$2:$G$34,7,FALSE)="","",VLOOKUP(D127,SKUs!$A$2:$G$34,7,FALSE)),"")</f>
        <v/>
      </c>
      <c r="L127" s="9">
        <f>IF(K127="","",ROUND(K127*(1-F127),2))</f>
        <v/>
      </c>
      <c r="M127" s="13" t="n"/>
      <c r="N127" s="13" t="n"/>
    </row>
    <row r="128">
      <c r="A128" s="8" t="inlineStr">
        <is>
          <t>Pós-Black</t>
        </is>
      </c>
      <c r="B128" s="11" t="n">
        <v>46354</v>
      </c>
      <c r="C128" s="11" t="n">
        <v>46356</v>
      </c>
      <c r="D128" s="8" t="inlineStr">
        <is>
          <t>L3060-AML</t>
        </is>
      </c>
      <c r="E128" s="8" t="inlineStr">
        <is>
          <t>A</t>
        </is>
      </c>
      <c r="F128" s="12" t="n">
        <v>0.03</v>
      </c>
      <c r="G128" s="9">
        <f>IFERROR(IF(VLOOKUP(D128,SKUs!$A$2:$G$34,6,FALSE)="","",VLOOKUP(D128,SKUs!$A$2:$G$34,6,FALSE)),"")</f>
        <v/>
      </c>
      <c r="H128" s="9">
        <f>IF(G128="","",ROUND(G128*(1-F128),2))</f>
        <v/>
      </c>
      <c r="I128" s="13" t="n"/>
      <c r="J128" s="13" t="n"/>
      <c r="K128" s="9">
        <f>IFERROR(IF(VLOOKUP(D128,SKUs!$A$2:$G$34,7,FALSE)="","",VLOOKUP(D128,SKUs!$A$2:$G$34,7,FALSE)),"")</f>
        <v/>
      </c>
      <c r="L128" s="9">
        <f>IF(K128="","",ROUND(K128*(1-F128),2))</f>
        <v/>
      </c>
      <c r="M128" s="13" t="n"/>
      <c r="N128" s="13" t="n"/>
    </row>
    <row r="129">
      <c r="A129" s="8" t="inlineStr">
        <is>
          <t>Pós-Black</t>
        </is>
      </c>
      <c r="B129" s="11" t="n">
        <v>46354</v>
      </c>
      <c r="C129" s="11" t="n">
        <v>46356</v>
      </c>
      <c r="D129" s="8" t="inlineStr">
        <is>
          <t>Q3060-B</t>
        </is>
      </c>
      <c r="E129" s="8" t="inlineStr">
        <is>
          <t>A</t>
        </is>
      </c>
      <c r="F129" s="12" t="n">
        <v>0.03</v>
      </c>
      <c r="G129" s="9">
        <f>IFERROR(IF(VLOOKUP(D129,SKUs!$A$2:$G$34,6,FALSE)="","",VLOOKUP(D129,SKUs!$A$2:$G$34,6,FALSE)),"")</f>
        <v/>
      </c>
      <c r="H129" s="9">
        <f>IF(G129="","",ROUND(G129*(1-F129),2))</f>
        <v/>
      </c>
      <c r="I129" s="13" t="n"/>
      <c r="J129" s="13" t="n"/>
      <c r="K129" s="9">
        <f>IFERROR(IF(VLOOKUP(D129,SKUs!$A$2:$G$34,7,FALSE)="","",VLOOKUP(D129,SKUs!$A$2:$G$34,7,FALSE)),"")</f>
        <v/>
      </c>
      <c r="L129" s="9">
        <f>IF(K129="","",ROUND(K129*(1-F129),2))</f>
        <v/>
      </c>
      <c r="M129" s="13" t="n"/>
      <c r="N129" s="13" t="n"/>
    </row>
    <row r="130">
      <c r="A130" s="8" t="inlineStr">
        <is>
          <t>Pós-Black</t>
        </is>
      </c>
      <c r="B130" s="11" t="n">
        <v>46354</v>
      </c>
      <c r="C130" s="11" t="n">
        <v>46356</v>
      </c>
      <c r="D130" s="8" t="inlineStr">
        <is>
          <t>L2025-T</t>
        </is>
      </c>
      <c r="E130" s="8" t="inlineStr">
        <is>
          <t>A</t>
        </is>
      </c>
      <c r="F130" s="12" t="n">
        <v>0.03</v>
      </c>
      <c r="G130" s="9">
        <f>IFERROR(IF(VLOOKUP(D130,SKUs!$A$2:$G$34,6,FALSE)="","",VLOOKUP(D130,SKUs!$A$2:$G$34,6,FALSE)),"")</f>
        <v/>
      </c>
      <c r="H130" s="9">
        <f>IF(G130="","",ROUND(G130*(1-F130),2))</f>
        <v/>
      </c>
      <c r="I130" s="13" t="n"/>
      <c r="J130" s="13" t="n"/>
      <c r="K130" s="9">
        <f>IFERROR(IF(VLOOKUP(D130,SKUs!$A$2:$G$34,7,FALSE)="","",VLOOKUP(D130,SKUs!$A$2:$G$34,7,FALSE)),"")</f>
        <v/>
      </c>
      <c r="L130" s="9">
        <f>IF(K130="","",ROUND(K130*(1-F130),2))</f>
        <v/>
      </c>
      <c r="M130" s="13" t="n"/>
      <c r="N130" s="13" t="n"/>
    </row>
    <row r="131">
      <c r="A131" s="8" t="inlineStr">
        <is>
          <t>Pós-Black</t>
        </is>
      </c>
      <c r="B131" s="11" t="n">
        <v>46354</v>
      </c>
      <c r="C131" s="11" t="n">
        <v>46356</v>
      </c>
      <c r="D131" s="8" t="inlineStr">
        <is>
          <t>EMB-03</t>
        </is>
      </c>
      <c r="E131" s="8" t="inlineStr">
        <is>
          <t>Queima</t>
        </is>
      </c>
      <c r="F131" s="12" t="n">
        <v>0.1</v>
      </c>
      <c r="G131" s="9">
        <f>IFERROR(IF(VLOOKUP(D131,SKUs!$A$2:$G$34,6,FALSE)="","",VLOOKUP(D131,SKUs!$A$2:$G$34,6,FALSE)),"")</f>
        <v/>
      </c>
      <c r="H131" s="9">
        <f>IF(G131="","",ROUND(G131*(1-F131),2))</f>
        <v/>
      </c>
      <c r="I131" s="13" t="n"/>
      <c r="J131" s="13" t="n"/>
      <c r="K131" s="9">
        <f>IFERROR(IF(VLOOKUP(D131,SKUs!$A$2:$G$34,7,FALSE)="","",VLOOKUP(D131,SKUs!$A$2:$G$34,7,FALSE)),"")</f>
        <v/>
      </c>
      <c r="L131" s="9">
        <f>IF(K131="","",ROUND(K131*(1-F131),2))</f>
        <v/>
      </c>
      <c r="M131" s="13" t="n"/>
      <c r="N131" s="13" t="n"/>
    </row>
    <row r="132">
      <c r="A132" s="8" t="inlineStr">
        <is>
          <t>Pós-Black</t>
        </is>
      </c>
      <c r="B132" s="11" t="n">
        <v>46354</v>
      </c>
      <c r="C132" s="11" t="n">
        <v>46356</v>
      </c>
      <c r="D132" s="8" t="inlineStr">
        <is>
          <t>EMB-05</t>
        </is>
      </c>
      <c r="E132" s="8" t="inlineStr">
        <is>
          <t>Queima</t>
        </is>
      </c>
      <c r="F132" s="12" t="n">
        <v>0.1</v>
      </c>
      <c r="G132" s="9">
        <f>IFERROR(IF(VLOOKUP(D132,SKUs!$A$2:$G$34,6,FALSE)="","",VLOOKUP(D132,SKUs!$A$2:$G$34,6,FALSE)),"")</f>
        <v/>
      </c>
      <c r="H132" s="9">
        <f>IF(G132="","",ROUND(G132*(1-F132),2))</f>
        <v/>
      </c>
      <c r="I132" s="13" t="n"/>
      <c r="J132" s="13" t="n"/>
      <c r="K132" s="9">
        <f>IFERROR(IF(VLOOKUP(D132,SKUs!$A$2:$G$34,7,FALSE)="","",VLOOKUP(D132,SKUs!$A$2:$G$34,7,FALSE)),"")</f>
        <v/>
      </c>
      <c r="L132" s="9">
        <f>IF(K132="","",ROUND(K132*(1-F132),2))</f>
        <v/>
      </c>
      <c r="M132" s="13" t="n"/>
      <c r="N132" s="13" t="n"/>
    </row>
    <row r="133">
      <c r="A133" s="8" t="inlineStr">
        <is>
          <t>Pós-Black</t>
        </is>
      </c>
      <c r="B133" s="11" t="n">
        <v>46354</v>
      </c>
      <c r="C133" s="11" t="n">
        <v>46356</v>
      </c>
      <c r="D133" s="8" t="inlineStr">
        <is>
          <t>EMB-08</t>
        </is>
      </c>
      <c r="E133" s="8" t="inlineStr">
        <is>
          <t>Queima</t>
        </is>
      </c>
      <c r="F133" s="12" t="n">
        <v>0.1</v>
      </c>
      <c r="G133" s="9">
        <f>IFERROR(IF(VLOOKUP(D133,SKUs!$A$2:$G$34,6,FALSE)="","",VLOOKUP(D133,SKUs!$A$2:$G$34,6,FALSE)),"")</f>
        <v/>
      </c>
      <c r="H133" s="9">
        <f>IF(G133="","",ROUND(G133*(1-F133),2))</f>
        <v/>
      </c>
      <c r="I133" s="13" t="n"/>
      <c r="J133" s="13" t="n"/>
      <c r="K133" s="9">
        <f>IFERROR(IF(VLOOKUP(D133,SKUs!$A$2:$G$34,7,FALSE)="","",VLOOKUP(D133,SKUs!$A$2:$G$34,7,FALSE)),"")</f>
        <v/>
      </c>
      <c r="L133" s="9">
        <f>IF(K133="","",ROUND(K133*(1-F133),2))</f>
        <v/>
      </c>
      <c r="M133" s="13" t="n"/>
      <c r="N133" s="13" t="n"/>
    </row>
  </sheetData>
  <autoFilter ref="A1:N133"/>
  <conditionalFormatting sqref="I2:I133">
    <cfRule type="expression" priority="1" dxfId="0">
      <formula>I2="SIM"</formula>
    </cfRule>
  </conditionalFormatting>
  <conditionalFormatting sqref="J2:J133">
    <cfRule type="expression" priority="2" dxfId="0">
      <formula>J2="SIM"</formula>
    </cfRule>
  </conditionalFormatting>
  <conditionalFormatting sqref="M2:M133">
    <cfRule type="expression" priority="3" dxfId="0">
      <formula>M2="SIM"</formula>
    </cfRule>
  </conditionalFormatting>
  <conditionalFormatting sqref="N2:N133">
    <cfRule type="expression" priority="4" dxfId="0">
      <formula>N2="SIM"</formula>
    </cfRule>
  </conditionalFormatting>
  <dataValidations count="1">
    <dataValidation sqref="I2:I133 J2:J133 M2:M133 N2:N133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2026-10-20T18:48:48Z</dcterms:created>
  <dcterms:modified xmlns:dcterms="http://purl.org/dc/terms/" xmlns:xsi="http://www.w3.org/2001/XMLSchema-instance" xsi:type="dcterms:W3CDTF">2026-10-20T18:48:49Z</dcterms:modified>
</cp:coreProperties>
</file>