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\Desktop\amazon\"/>
    </mc:Choice>
  </mc:AlternateContent>
  <bookViews>
    <workbookView xWindow="0" yWindow="0" windowWidth="20490" windowHeight="7755"/>
  </bookViews>
  <sheets>
    <sheet name="Controle_Semanal" sheetId="1" r:id="rId1"/>
  </sheets>
  <calcPr calcId="152511" iterateDelta="1E-4"/>
</workbook>
</file>

<file path=xl/calcChain.xml><?xml version="1.0" encoding="utf-8"?>
<calcChain xmlns="http://schemas.openxmlformats.org/spreadsheetml/2006/main">
  <c r="M60" i="1" l="1"/>
  <c r="L60" i="1"/>
  <c r="K60" i="1"/>
  <c r="J60" i="1"/>
  <c r="I60" i="1"/>
  <c r="M59" i="1"/>
  <c r="L59" i="1"/>
  <c r="K59" i="1"/>
  <c r="J59" i="1"/>
  <c r="I59" i="1"/>
  <c r="M58" i="1"/>
  <c r="L58" i="1"/>
  <c r="K58" i="1"/>
  <c r="J58" i="1"/>
  <c r="I58" i="1"/>
  <c r="M57" i="1"/>
  <c r="L57" i="1"/>
  <c r="K57" i="1"/>
  <c r="J57" i="1"/>
  <c r="I57" i="1"/>
  <c r="M56" i="1"/>
  <c r="L56" i="1"/>
  <c r="K56" i="1"/>
  <c r="J56" i="1"/>
  <c r="I56" i="1"/>
  <c r="M55" i="1"/>
  <c r="L55" i="1"/>
  <c r="K55" i="1"/>
  <c r="J55" i="1"/>
  <c r="I55" i="1"/>
  <c r="M54" i="1"/>
  <c r="L54" i="1"/>
  <c r="K54" i="1"/>
  <c r="J54" i="1"/>
  <c r="I54" i="1"/>
  <c r="M53" i="1"/>
  <c r="L53" i="1"/>
  <c r="K53" i="1"/>
  <c r="J53" i="1"/>
  <c r="I53" i="1"/>
  <c r="M52" i="1"/>
  <c r="L52" i="1"/>
  <c r="K52" i="1"/>
  <c r="J52" i="1"/>
  <c r="I52" i="1"/>
  <c r="M51" i="1"/>
  <c r="L51" i="1"/>
  <c r="K51" i="1"/>
  <c r="J51" i="1"/>
  <c r="I51" i="1"/>
  <c r="M50" i="1"/>
  <c r="L50" i="1"/>
  <c r="K50" i="1"/>
  <c r="J50" i="1"/>
  <c r="I50" i="1"/>
  <c r="M49" i="1"/>
  <c r="L49" i="1"/>
  <c r="K49" i="1"/>
  <c r="J49" i="1"/>
  <c r="I49" i="1"/>
  <c r="M48" i="1"/>
  <c r="L48" i="1"/>
  <c r="K48" i="1"/>
  <c r="J48" i="1"/>
  <c r="I48" i="1"/>
  <c r="M47" i="1"/>
  <c r="L47" i="1"/>
  <c r="K47" i="1"/>
  <c r="J47" i="1"/>
  <c r="I47" i="1"/>
  <c r="M46" i="1"/>
  <c r="L46" i="1"/>
  <c r="K46" i="1"/>
  <c r="J46" i="1"/>
  <c r="I46" i="1"/>
  <c r="M45" i="1"/>
  <c r="L45" i="1"/>
  <c r="K45" i="1"/>
  <c r="J45" i="1"/>
  <c r="I45" i="1"/>
  <c r="M44" i="1"/>
  <c r="L44" i="1"/>
  <c r="K44" i="1"/>
  <c r="J44" i="1"/>
  <c r="I44" i="1"/>
  <c r="M43" i="1"/>
  <c r="L43" i="1"/>
  <c r="K43" i="1"/>
  <c r="J43" i="1"/>
  <c r="I43" i="1"/>
  <c r="M42" i="1"/>
  <c r="L42" i="1"/>
  <c r="K42" i="1"/>
  <c r="J42" i="1"/>
  <c r="I42" i="1"/>
  <c r="M41" i="1"/>
  <c r="L41" i="1"/>
  <c r="K41" i="1"/>
  <c r="J41" i="1"/>
  <c r="I41" i="1"/>
  <c r="M40" i="1"/>
  <c r="L40" i="1"/>
  <c r="K40" i="1"/>
  <c r="J40" i="1"/>
  <c r="I40" i="1"/>
  <c r="M39" i="1"/>
  <c r="L39" i="1"/>
  <c r="K39" i="1"/>
  <c r="J39" i="1"/>
  <c r="I39" i="1"/>
  <c r="M38" i="1"/>
  <c r="L38" i="1"/>
  <c r="K38" i="1"/>
  <c r="J38" i="1"/>
  <c r="I38" i="1"/>
  <c r="M37" i="1"/>
  <c r="L37" i="1"/>
  <c r="K37" i="1"/>
  <c r="J37" i="1"/>
  <c r="I37" i="1"/>
  <c r="M36" i="1"/>
  <c r="L36" i="1"/>
  <c r="K36" i="1"/>
  <c r="J36" i="1"/>
  <c r="I36" i="1"/>
  <c r="M35" i="1"/>
  <c r="L35" i="1"/>
  <c r="K35" i="1"/>
  <c r="J35" i="1"/>
  <c r="I35" i="1"/>
  <c r="M34" i="1"/>
  <c r="L34" i="1"/>
  <c r="K34" i="1"/>
  <c r="J34" i="1"/>
  <c r="I34" i="1"/>
  <c r="M33" i="1"/>
  <c r="L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M30" i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M21" i="1"/>
  <c r="L21" i="1"/>
  <c r="K21" i="1"/>
  <c r="J21" i="1"/>
  <c r="I21" i="1"/>
  <c r="M20" i="1"/>
  <c r="L20" i="1"/>
  <c r="K20" i="1"/>
  <c r="J20" i="1"/>
  <c r="I20" i="1"/>
  <c r="M19" i="1"/>
  <c r="L19" i="1"/>
  <c r="K19" i="1"/>
  <c r="J19" i="1"/>
  <c r="I19" i="1"/>
  <c r="M18" i="1"/>
  <c r="L18" i="1"/>
  <c r="K18" i="1"/>
  <c r="J18" i="1"/>
  <c r="I18" i="1"/>
  <c r="M17" i="1"/>
  <c r="L17" i="1"/>
  <c r="K17" i="1"/>
  <c r="J17" i="1"/>
  <c r="I17" i="1"/>
  <c r="M16" i="1"/>
  <c r="L16" i="1"/>
  <c r="K16" i="1"/>
  <c r="J16" i="1"/>
  <c r="I16" i="1"/>
  <c r="M15" i="1"/>
  <c r="L15" i="1"/>
  <c r="K15" i="1"/>
  <c r="J15" i="1"/>
  <c r="I15" i="1"/>
  <c r="M14" i="1"/>
  <c r="L14" i="1"/>
  <c r="K14" i="1"/>
  <c r="J14" i="1"/>
  <c r="I14" i="1"/>
  <c r="M13" i="1"/>
  <c r="L13" i="1"/>
  <c r="K13" i="1"/>
  <c r="J13" i="1"/>
  <c r="I13" i="1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</calcChain>
</file>

<file path=xl/sharedStrings.xml><?xml version="1.0" encoding="utf-8"?>
<sst xmlns="http://schemas.openxmlformats.org/spreadsheetml/2006/main" count="58" uniqueCount="48">
  <si>
    <t>CONTROLE SEMANAL AMAZON ADS — WINNET METAIS</t>
  </si>
  <si>
    <t>Uso: monitoramento operacional das segundas-feiras. Este arquivo registra o histórico; NÃO substitui a Skill, o Playbook nem os Parâmetros Vigentes.</t>
  </si>
  <si>
    <t>Versão limpa da antiga Aba 8. Regras legadas (ex.: Meta ACOS 25%, Taxa 3%, Topo 30%) foram removidas para evitar conflito com o método atual.</t>
  </si>
  <si>
    <t>Preencha A:H e N:P. As colunas I:M (ROAS, ACOS, Taxa de compra, CPC e CTR) calculam automaticamente.</t>
  </si>
  <si>
    <t>Data de referência</t>
  </si>
  <si>
    <t>Período analisado</t>
  </si>
  <si>
    <t>Impressões</t>
  </si>
  <si>
    <t>Cliques</t>
  </si>
  <si>
    <t>Custo Ads (R$)</t>
  </si>
  <si>
    <t>Vendas atribuídas Ads (R$)</t>
  </si>
  <si>
    <t>Pedidos atribuídos</t>
  </si>
  <si>
    <t>Unidades atribuídas</t>
  </si>
  <si>
    <t>ROAS</t>
  </si>
  <si>
    <t>ACOS</t>
  </si>
  <si>
    <t>Taxa de compra</t>
  </si>
  <si>
    <t>CPC (R$)</t>
  </si>
  <si>
    <t>CTR</t>
  </si>
  <si>
    <t>Status semanal</t>
  </si>
  <si>
    <t>Notas</t>
  </si>
  <si>
    <t>Arquivo / fonte</t>
  </si>
  <si>
    <t>Migrado da antiga Aba 8.</t>
  </si>
  <si>
    <t>Plano de Implementação — Aba 8</t>
  </si>
  <si>
    <t>10/08/2026 a 16/08/2026</t>
  </si>
  <si>
    <t>Monitoramento semanal — preencher com o export da semana.</t>
  </si>
  <si>
    <t>Fluxo: preencher os dados do export semanal → revisar Status semanal → registrar Notas → decisões de Ads continuam sendo tomadas pela Skill/Playbook/Parâmetros vigentes.</t>
  </si>
  <si>
    <t>17/08/2026–23/08/2026</t>
  </si>
  <si>
    <t>INVESTIGAR</t>
  </si>
  <si>
    <t>Semana forte em atribuição (2 vendas ticket alto via Geral, ACOS 2,5% na Geral). CTR agregado deprimido por anomalia de entrega na SP-PP automática (18,7k impr, CTR 0,07%) → investigar termos na O4. Sem SP-PP, CTR da conta = 0,66% (estável). Bituqueiras: requalificação CONFIRMADA em 25/08 (4 anúncios Em inserção, incl. SP-01 e SP-T). PI SP-01: suspensão MANTIDA em 2ª análise da equipe interna (25/08) — contestação encerrada, permanece pausada; não conta como falha de desempenho.</t>
  </si>
  <si>
    <t>24/08/2026 a 31/08/2026</t>
  </si>
  <si>
    <t>relatorios/amazon/monitoramento-31-08 + ciclos/Monitoramento-31-08.md</t>
  </si>
  <si>
    <t>VIGIA</t>
  </si>
  <si>
    <t>Venda PXP 29/08 sem atribuição até 31/08. Auto L1618-o115/07 encontrada ativa (O4-006 não vigorou); pausada em 31/08. Atribuição de 29–31/08 ainda imatura."Geral DBA: ACOS de janela 83,9% (1 venda) → VIGIA; veredito do lance 0,48 na O5."</t>
  </si>
  <si>
    <t>07/09/2026 a 14/09/2026</t>
  </si>
  <si>
    <t>9.9 lido: Melhor Oferta 3 de 11 (R$ 1.196,21 / 7 un / 174 visualizações);
Relâmpago 0 de 5 (19 visualizações) — falha de EXIBIÇÃO, não de conversão.
Atribuição ao PREÇO DA OFERTA confirmada (5 pedidos, 3 SKUs, 4 campanhas).
ACOS de 5,81% está inflado pela concentração de vendas com oferta — não
recalibrar régua por ele. Participação de Ads de 86% é janela curta (6
pedidos), não tendência; na Era da O5 era 38%. QUEDA DE IMPRESSÕES
ESPERADA: 22.192 contra 47.770 em 24–31/08. É o efeito da O5 (4 campanhas
pausadas em 09/09, no meio da janela), não colapso de entrega. CTR agregado
SUBIU para 0,55% (era 0,41%) — entrega mais limpa, que era o objetivo.
FONTES MISTAS: impressões e vendas do console (set 7–set 14); cliques e
custo do export do Gerenciador, que veio com impressões zeradas. O console
marca 122 cliques e o export 123 — diferença de 1, provável clique
invalidado retroativamente. O custo não é exposto no painel do console.
⚠️ L2025-T: 52 sessões (maior tráfego da semana), Melhor Oferta ativa, ZERO
venda — era o motor de vendas (47 sessões / 4 un na Era). Vigiar na O6.
Estado da O5 conferido: 12 ativas / 68 pausadas, nenhum zumbi. LACUNA DE
SÉRIE: não há linha para 01–06/09 (o monitoramento de 07/09 foi eliminado
pelo feriado) — a série não é contínua entre 31/08 e 14/09.</t>
  </si>
  <si>
    <t>console Amazon Ads (set 7–set 14) + relatorios/amazon/monitoramento-14-09 + ciclos/Monitoramento-14-09.md</t>
  </si>
  <si>
    <t>14/09/2026 a 21/09/2026</t>
  </si>
  <si>
    <t>SEM DIAGNÓSTICO — regra da véspera (MEMORIA 09/09): a O6 de 22/09 relê a Era 09–21/09 inteira. Esta linha é só registro. Primeira semana LIMPA pós-O5 (sem oferta): ACOS 17,4% com 2 vendas — P3070 R$ 616,18 (PI P3070, 15/09) e L2025-T R$ 132,90 (Geral, 15/09); bijeção console × Mestra fecha ao centav…</t>
  </si>
  <si>
    <t>console Amazon Ads (set 14–set 21) + relatorios/amazon/monitoramento-21-09</t>
  </si>
  <si>
    <t>22/09/2026 a 28/09/2026</t>
  </si>
  <si>
    <t>Primeira semana pós-O6 (10 ativas; SP-PP e EGC pausadas; loose da Geral a 0,45). ACOS 9,6% — 2 vendas, ambas na Geral: 3 un PXM R$ 580,08 (24/09, ES Capital) + 1 un L1618-T R$ 110,20, valorizadas A PREÇO COM DESCONTO — regra de atribuição do desconto no preço FIXADA (igual à Melhor Oferta; a promoçã…</t>
  </si>
  <si>
    <t>console Amazon Ads (set 22–set 28) + relatorios/amazon/monitoramento-28-09</t>
  </si>
  <si>
    <t>29/09/2026 a 05/10/2026</t>
  </si>
  <si>
    <t>Semana de preço limpo + 1º dia do Prime Day. 6 compras/9 un: Geral 4 (P4080 1ª venda, P3060 ×2, L1618-B, L1623-T), PI P3070 1 (alvo B0CTMZHJFJ), PI PXM 1 (3 un). ACOS 3,1% — n pequeno, não é base de escala. Prime Day às 15h de 05/10: Melhor Oferta PXP "Apresenta problemas" (preço promocional ≠ preço…</t>
  </si>
  <si>
    <t>relatorios/amazon/monitoramento-05-10/ (export, BR 29/09–04/10, prints) + ciclos/Monitoramento-05-10.md</t>
  </si>
  <si>
    <t>06/10/2026 a 12/10/2026</t>
  </si>
  <si>
    <t>13/10/2026 a 19/10/2026</t>
  </si>
  <si>
    <t>1ª semana pós-O7 (lances +20%). Entrega −34% e conversão da Geral 0,9% (1 venda em 106 cli); catálogo vendeu só 3 pedidos (R$ 862) — queda de demanda. Sem ação; checkpoint 22/10: Geral ≥150 cli e ≤1 compra → reverter close/substitutes. O8 27/10.</t>
  </si>
  <si>
    <t>relatorios/amazon/monitoramento-19-10/ (export 13–19/10 + print) + ciclos/Monitoramento-19-10.md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</si>
</sst>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11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0"/>
      <color rgb="FF7C4A03"/>
      <name val="Carlito"/>
    </font>
    <font>
      <b/>
      <sz val="10"/>
      <color rgb="FFFFFFFF"/>
      <name val="Carlito"/>
    </font>
    <font>
      <i/>
      <sz val="9"/>
      <color rgb="FF475569"/>
      <name val="Carlito"/>
    </font>
    <font>
      <b/>
      <sz val="9"/>
      <color rgb="FF475569"/>
      <name val="Carlito"/>
    </font>
    <font>
      <sz val="12"/>
      <name val="Arial"/>
      <family val="2"/>
    </font>
    <font>
      <sz val="12"/>
      <color rgb="FF0F172A"/>
      <name val="Arial"/>
      <family val="2"/>
    </font>
    <font>
      <sz val="12"/>
      <color theme="1"/>
      <name val="Arial"/>
      <family val="2"/>
    </font>
    <font>
      <u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23B73"/>
      </patternFill>
    </fill>
    <fill>
      <patternFill patternType="solid">
        <fgColor rgb="FFEAF2F8"/>
      </patternFill>
    </fill>
    <fill>
      <patternFill patternType="solid">
        <fgColor rgb="FFFFF7E6"/>
      </patternFill>
    </fill>
    <fill>
      <patternFill patternType="solid">
        <fgColor rgb="FFF7FBFF"/>
      </patternFill>
    </fill>
    <fill>
      <patternFill patternType="solid">
        <fgColor rgb="FFE8F4FD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5" borderId="0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0" fillId="5" borderId="5" xfId="0" applyNumberFormat="1" applyFont="1" applyFill="1" applyBorder="1" applyAlignment="1">
      <alignment vertical="center" wrapText="1"/>
    </xf>
    <xf numFmtId="0" fontId="0" fillId="5" borderId="7" xfId="0" applyNumberFormat="1" applyFont="1" applyFill="1" applyBorder="1" applyAlignment="1">
      <alignment vertical="center" wrapText="1"/>
    </xf>
    <xf numFmtId="0" fontId="0" fillId="5" borderId="8" xfId="0" applyNumberFormat="1" applyFont="1" applyFill="1" applyBorder="1" applyAlignment="1">
      <alignment vertical="center" wrapText="1"/>
    </xf>
    <xf numFmtId="3" fontId="0" fillId="5" borderId="0" xfId="0" applyNumberFormat="1" applyFont="1" applyFill="1" applyBorder="1" applyAlignment="1">
      <alignment horizontal="center" vertical="center"/>
    </xf>
    <xf numFmtId="1" fontId="0" fillId="5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 applyAlignment="1">
      <alignment horizontal="center" vertical="center" wrapText="1"/>
    </xf>
    <xf numFmtId="3" fontId="0" fillId="5" borderId="7" xfId="0" applyNumberFormat="1" applyFont="1" applyFill="1" applyBorder="1" applyAlignment="1">
      <alignment horizontal="center" vertical="center"/>
    </xf>
    <xf numFmtId="1" fontId="0" fillId="5" borderId="7" xfId="0" applyNumberFormat="1" applyFont="1" applyFill="1" applyBorder="1" applyAlignment="1">
      <alignment horizontal="center" vertical="center"/>
    </xf>
    <xf numFmtId="2" fontId="0" fillId="0" borderId="7" xfId="0" applyNumberFormat="1" applyFont="1" applyFill="1" applyBorder="1" applyAlignment="1">
      <alignment horizontal="center"/>
    </xf>
    <xf numFmtId="164" fontId="0" fillId="0" borderId="7" xfId="0" applyNumberFormat="1" applyFont="1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0" fontId="0" fillId="5" borderId="7" xfId="0" applyNumberFormat="1" applyFont="1" applyFill="1" applyBorder="1" applyAlignment="1">
      <alignment horizontal="center" vertical="center" wrapText="1"/>
    </xf>
    <xf numFmtId="14" fontId="0" fillId="5" borderId="4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14" fontId="0" fillId="5" borderId="6" xfId="0" applyNumberFormat="1" applyFont="1" applyFill="1" applyBorder="1" applyAlignment="1">
      <alignment horizontal="center" vertical="center"/>
    </xf>
    <xf numFmtId="0" fontId="0" fillId="5" borderId="7" xfId="0" applyNumberFormat="1" applyFont="1" applyFill="1" applyBorder="1" applyAlignment="1">
      <alignment horizontal="center" vertical="center"/>
    </xf>
    <xf numFmtId="2" fontId="0" fillId="5" borderId="0" xfId="0" applyNumberFormat="1" applyFont="1" applyFill="1" applyBorder="1" applyAlignment="1">
      <alignment horizontal="center" vertical="center"/>
    </xf>
    <xf numFmtId="2" fontId="0" fillId="5" borderId="7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4" borderId="0" xfId="0" applyNumberFormat="1" applyFont="1" applyFill="1" applyBorder="1" applyAlignment="1">
      <alignment horizontal="left" vertical="center" wrapText="1"/>
    </xf>
    <xf numFmtId="0" fontId="5" fillId="7" borderId="0" xfId="0" applyNumberFormat="1" applyFont="1" applyFill="1" applyBorder="1" applyAlignment="1">
      <alignment wrapText="1"/>
    </xf>
    <xf numFmtId="0" fontId="6" fillId="8" borderId="0" xfId="0" applyNumberFormat="1" applyFont="1" applyFill="1" applyBorder="1" applyAlignment="1">
      <alignment horizontal="left" vertical="center"/>
    </xf>
    <xf numFmtId="14" fontId="7" fillId="5" borderId="4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/>
    </xf>
    <xf numFmtId="3" fontId="7" fillId="5" borderId="0" xfId="0" applyNumberFormat="1" applyFont="1" applyFill="1" applyBorder="1" applyAlignment="1">
      <alignment horizontal="center" vertical="center"/>
    </xf>
    <xf numFmtId="2" fontId="7" fillId="5" borderId="0" xfId="0" applyNumberFormat="1" applyFont="1" applyFill="1" applyBorder="1" applyAlignment="1">
      <alignment horizontal="center" vertical="center"/>
    </xf>
    <xf numFmtId="1" fontId="7" fillId="5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0" fontId="7" fillId="5" borderId="5" xfId="0" applyNumberFormat="1" applyFont="1" applyFill="1" applyBorder="1" applyAlignment="1">
      <alignment horizontal="center" vertical="center"/>
    </xf>
    <xf numFmtId="14" fontId="8" fillId="6" borderId="4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3" fontId="8" fillId="6" borderId="0" xfId="0" applyNumberFormat="1" applyFont="1" applyFill="1" applyBorder="1" applyAlignment="1">
      <alignment horizontal="center" vertical="center"/>
    </xf>
    <xf numFmtId="2" fontId="8" fillId="6" borderId="0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Border="1" applyAlignment="1">
      <alignment horizontal="center" vertical="center"/>
    </xf>
    <xf numFmtId="165" fontId="8" fillId="6" borderId="0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color rgb="FF9A3412"/>
      </font>
      <fill>
        <patternFill>
          <bgColor rgb="FFFED7AA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color rgb="FF9A3412"/>
      </font>
      <fill>
        <patternFill>
          <bgColor rgb="FFFED7AA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Tendência semanal de ACOS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</c:ser>
        <c:ser>
          <c:idx val="1"/>
          <c:order val="1"/>
          <c:tx>
            <c:v>ACOS</c:v>
          </c:tx>
          <c:marker>
            <c:symbol val="none"/>
          </c:marker>
          <c:cat>
            <c:numRef>
              <c:f>Controle_Semanal!$A$6:$A$60</c:f>
              <c:numCache>
                <c:formatCode>m/d/yyyy</c:formatCode>
                <c:ptCount val="55"/>
                <c:pt idx="0">
                  <c:v>46225</c:v>
                </c:pt>
                <c:pt idx="1">
                  <c:v>46231</c:v>
                </c:pt>
                <c:pt idx="2">
                  <c:v>46244</c:v>
                </c:pt>
                <c:pt idx="3">
                  <c:v>46251</c:v>
                </c:pt>
                <c:pt idx="4">
                  <c:v>46258</c:v>
                </c:pt>
                <c:pt idx="5">
                  <c:v>46265</c:v>
                </c:pt>
                <c:pt idx="6">
                  <c:v>46279</c:v>
                </c:pt>
                <c:pt idx="7">
                  <c:v>46286</c:v>
                </c:pt>
                <c:pt idx="8">
                  <c:v>46293</c:v>
                </c:pt>
                <c:pt idx="9">
                  <c:v>46300</c:v>
                </c:pt>
                <c:pt idx="10">
                  <c:v>46307</c:v>
                </c:pt>
                <c:pt idx="11">
                  <c:v>46314</c:v>
                </c:pt>
              </c:numCache>
            </c:numRef>
          </c:cat>
          <c:val>
            <c:numRef>
              <c:f>Controle_Semanal!$J$6:$J$60</c:f>
              <c:numCache>
                <c:formatCode>0.0%</c:formatCode>
                <c:ptCount val="55"/>
                <c:pt idx="0">
                  <c:v>0.34674097407317661</c:v>
                </c:pt>
                <c:pt idx="1">
                  <c:v>0.13020134228187918</c:v>
                </c:pt>
                <c:pt idx="2">
                  <c:v>0.25803862553298218</c:v>
                </c:pt>
                <c:pt idx="3">
                  <c:v>0.4790067720090293</c:v>
                </c:pt>
                <c:pt idx="4">
                  <c:v>4.2267624347692136E-2</c:v>
                </c:pt>
                <c:pt idx="5">
                  <c:v>0.46564023302817736</c:v>
                </c:pt>
                <c:pt idx="6">
                  <c:v>5.8116345574954847E-2</c:v>
                </c:pt>
                <c:pt idx="7">
                  <c:v>0.17428045068617504</c:v>
                </c:pt>
                <c:pt idx="8">
                  <c:v>9.5569913658225647E-2</c:v>
                </c:pt>
                <c:pt idx="9">
                  <c:v>3.0904064203445228E-2</c:v>
                </c:pt>
                <c:pt idx="10">
                  <c:v>8.3921738671854401E-2</c:v>
                </c:pt>
                <c:pt idx="11">
                  <c:v>0.7622786759045419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1044112"/>
        <c:axId val="-1501039760"/>
      </c:lineChart>
      <c:catAx>
        <c:axId val="-1501044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501039760"/>
        <c:crosses val="autoZero"/>
        <c:auto val="1"/>
        <c:lblAlgn val="ctr"/>
        <c:lblOffset val="100"/>
        <c:noMultiLvlLbl val="0"/>
      </c:catAx>
      <c:valAx>
        <c:axId val="-150103976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501044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oleSemanalAds" displayName="ControleSemanalAds" ref="A5:P60" totalsRowShown="0">
  <tableColumns count="16">
    <tableColumn id="1" name="Data de referência"/>
    <tableColumn id="2" name="Período analisado"/>
    <tableColumn id="3" name="Impressões"/>
    <tableColumn id="4" name="Cliques"/>
    <tableColumn id="5" name="Custo Ads (R$)"/>
    <tableColumn id="6" name="Vendas atribuídas Ads (R$)"/>
    <tableColumn id="7" name="Pedidos atribuídos"/>
    <tableColumn id="8" name="Unidades atribuídas"/>
    <tableColumn id="9" name="ROAS"/>
    <tableColumn id="10" name="ACOS"/>
    <tableColumn id="11" name="Taxa de compra"/>
    <tableColumn id="12" name="CPC (R$)"/>
    <tableColumn id="13" name="CTR"/>
    <tableColumn id="14" name="Status semanal"/>
    <tableColumn id="15" name="Notas"/>
    <tableColumn id="16" name="Arquivo / 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workbookViewId="0">
      <selection activeCell="E19" sqref="E19"/>
    </sheetView>
  </sheetViews>
  <sheetFormatPr defaultRowHeight="14.25"/>
  <cols>
    <col min="1" max="1" width="15" customWidth="1"/>
    <col min="2" max="2" width="22" customWidth="1"/>
    <col min="3" max="3" width="12" customWidth="1"/>
    <col min="4" max="4" width="10" customWidth="1"/>
    <col min="5" max="5" width="14" customWidth="1"/>
    <col min="6" max="6" width="21" customWidth="1"/>
    <col min="7" max="7" width="17" customWidth="1"/>
    <col min="8" max="8" width="18" customWidth="1"/>
    <col min="9" max="10" width="9" customWidth="1"/>
    <col min="11" max="11" width="14" customWidth="1"/>
    <col min="12" max="12" width="11" customWidth="1"/>
    <col min="13" max="13" width="10" customWidth="1"/>
    <col min="14" max="14" width="22" customWidth="1"/>
    <col min="15" max="15" width="38" customWidth="1"/>
    <col min="16" max="16" width="30" customWidth="1"/>
  </cols>
  <sheetData>
    <row r="1" spans="1:16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7.9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27.9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21.9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33.950000000000003" customHeight="1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4" t="s">
        <v>19</v>
      </c>
    </row>
    <row r="6" spans="1:16" ht="15">
      <c r="A6" s="31">
        <v>46225</v>
      </c>
      <c r="B6" s="32"/>
      <c r="C6" s="33">
        <v>32090</v>
      </c>
      <c r="D6" s="33">
        <v>140</v>
      </c>
      <c r="E6" s="34">
        <v>128.79</v>
      </c>
      <c r="F6" s="34">
        <v>371.43</v>
      </c>
      <c r="G6" s="35">
        <v>2</v>
      </c>
      <c r="H6" s="35"/>
      <c r="I6" s="36">
        <f t="shared" ref="I6:I37" si="0">IF(E6=0,"",F6/E6)</f>
        <v>2.883997204751922</v>
      </c>
      <c r="J6" s="37">
        <f t="shared" ref="J6:J37" si="1">IF(F6=0,"",E6/F6)</f>
        <v>0.34674097407317661</v>
      </c>
      <c r="K6" s="37">
        <f t="shared" ref="K6:K37" si="2">IF(D6=0,"",G6/D6)</f>
        <v>1.4285714285714285E-2</v>
      </c>
      <c r="L6" s="36">
        <f t="shared" ref="L6:L37" si="3">IF(D6=0,"",E6/D6)</f>
        <v>0.91992857142857132</v>
      </c>
      <c r="M6" s="38">
        <f t="shared" ref="M6:M37" si="4">IF(C6=0,"",D6/C6)</f>
        <v>4.3627298223745713E-3</v>
      </c>
      <c r="N6" s="32"/>
      <c r="O6" s="32" t="s">
        <v>20</v>
      </c>
      <c r="P6" s="39" t="s">
        <v>21</v>
      </c>
    </row>
    <row r="7" spans="1:16" ht="15">
      <c r="A7" s="31">
        <v>46231</v>
      </c>
      <c r="B7" s="32"/>
      <c r="C7" s="33">
        <v>20325</v>
      </c>
      <c r="D7" s="33">
        <v>110</v>
      </c>
      <c r="E7" s="34">
        <v>70.81</v>
      </c>
      <c r="F7" s="34">
        <v>543.85</v>
      </c>
      <c r="G7" s="35">
        <v>1</v>
      </c>
      <c r="H7" s="35"/>
      <c r="I7" s="36">
        <f t="shared" si="0"/>
        <v>7.6804123711340209</v>
      </c>
      <c r="J7" s="37">
        <f t="shared" si="1"/>
        <v>0.13020134228187918</v>
      </c>
      <c r="K7" s="37">
        <f t="shared" si="2"/>
        <v>9.0909090909090905E-3</v>
      </c>
      <c r="L7" s="36">
        <f t="shared" si="3"/>
        <v>0.6437272727272727</v>
      </c>
      <c r="M7" s="38">
        <f t="shared" si="4"/>
        <v>5.4120541205412058E-3</v>
      </c>
      <c r="N7" s="32"/>
      <c r="O7" s="32" t="s">
        <v>20</v>
      </c>
      <c r="P7" s="39" t="s">
        <v>21</v>
      </c>
    </row>
    <row r="8" spans="1:16" ht="15">
      <c r="A8" s="31">
        <v>46244</v>
      </c>
      <c r="B8" s="32"/>
      <c r="C8" s="33">
        <v>30062</v>
      </c>
      <c r="D8" s="33">
        <v>145</v>
      </c>
      <c r="E8" s="34">
        <v>102.88</v>
      </c>
      <c r="F8" s="34">
        <v>398.7</v>
      </c>
      <c r="G8" s="35">
        <v>2</v>
      </c>
      <c r="H8" s="35"/>
      <c r="I8" s="36">
        <f t="shared" si="0"/>
        <v>3.8753888024883358</v>
      </c>
      <c r="J8" s="37">
        <f t="shared" si="1"/>
        <v>0.25803862553298218</v>
      </c>
      <c r="K8" s="37">
        <f t="shared" si="2"/>
        <v>1.3793103448275862E-2</v>
      </c>
      <c r="L8" s="36">
        <f t="shared" si="3"/>
        <v>0.70951724137931027</v>
      </c>
      <c r="M8" s="38">
        <f t="shared" si="4"/>
        <v>4.8233650455724838E-3</v>
      </c>
      <c r="N8" s="32"/>
      <c r="O8" s="32" t="s">
        <v>20</v>
      </c>
      <c r="P8" s="39" t="s">
        <v>21</v>
      </c>
    </row>
    <row r="9" spans="1:16" ht="15">
      <c r="A9" s="40">
        <v>46251</v>
      </c>
      <c r="B9" s="41" t="s">
        <v>22</v>
      </c>
      <c r="C9" s="42">
        <v>16807</v>
      </c>
      <c r="D9" s="42">
        <v>102</v>
      </c>
      <c r="E9" s="43">
        <v>63.66</v>
      </c>
      <c r="F9" s="43">
        <v>132.9</v>
      </c>
      <c r="G9" s="44">
        <v>1</v>
      </c>
      <c r="H9" s="44"/>
      <c r="I9" s="43">
        <f t="shared" si="0"/>
        <v>2.0876531573986807</v>
      </c>
      <c r="J9" s="45">
        <f t="shared" si="1"/>
        <v>0.4790067720090293</v>
      </c>
      <c r="K9" s="45">
        <f t="shared" si="2"/>
        <v>9.8039215686274508E-3</v>
      </c>
      <c r="L9" s="43">
        <f t="shared" si="3"/>
        <v>0.62411764705882344</v>
      </c>
      <c r="M9" s="46">
        <f t="shared" si="4"/>
        <v>6.068899863152258E-3</v>
      </c>
      <c r="N9" s="41"/>
      <c r="O9" s="41" t="s">
        <v>23</v>
      </c>
      <c r="P9" s="47"/>
    </row>
    <row r="10" spans="1:16" ht="15">
      <c r="A10" s="31">
        <v>46258</v>
      </c>
      <c r="B10" s="32" t="s">
        <v>25</v>
      </c>
      <c r="C10" s="33">
        <v>36117</v>
      </c>
      <c r="D10" s="33">
        <v>127</v>
      </c>
      <c r="E10" s="34">
        <v>87.8</v>
      </c>
      <c r="F10" s="34">
        <v>2077.2399999999998</v>
      </c>
      <c r="G10" s="35">
        <v>2</v>
      </c>
      <c r="H10" s="35"/>
      <c r="I10" s="36">
        <f t="shared" si="0"/>
        <v>23.658769931662867</v>
      </c>
      <c r="J10" s="37">
        <f t="shared" si="1"/>
        <v>4.2267624347692136E-2</v>
      </c>
      <c r="K10" s="37">
        <f t="shared" si="2"/>
        <v>1.5748031496062992E-2</v>
      </c>
      <c r="L10" s="36">
        <f t="shared" si="3"/>
        <v>0.6913385826771653</v>
      </c>
      <c r="M10" s="38">
        <f t="shared" si="4"/>
        <v>3.5163496414430877E-3</v>
      </c>
      <c r="N10" s="32" t="s">
        <v>26</v>
      </c>
      <c r="O10" s="32" t="s">
        <v>27</v>
      </c>
      <c r="P10" s="39"/>
    </row>
    <row r="11" spans="1:16" ht="15">
      <c r="A11" s="31">
        <v>46265</v>
      </c>
      <c r="B11" s="48" t="s">
        <v>28</v>
      </c>
      <c r="C11" s="49">
        <v>47770</v>
      </c>
      <c r="D11" s="48">
        <v>197</v>
      </c>
      <c r="E11" s="48">
        <v>156.66</v>
      </c>
      <c r="F11" s="48">
        <v>336.44</v>
      </c>
      <c r="G11" s="48">
        <v>2</v>
      </c>
      <c r="H11" s="35">
        <v>2</v>
      </c>
      <c r="I11" s="36">
        <f t="shared" si="0"/>
        <v>2.1475807481169413</v>
      </c>
      <c r="J11" s="37">
        <f t="shared" si="1"/>
        <v>0.46564023302817736</v>
      </c>
      <c r="K11" s="37">
        <f t="shared" si="2"/>
        <v>1.015228426395939E-2</v>
      </c>
      <c r="L11" s="36">
        <f t="shared" si="3"/>
        <v>0.79522842639593905</v>
      </c>
      <c r="M11" s="38">
        <f t="shared" si="4"/>
        <v>4.1239271509315471E-3</v>
      </c>
      <c r="N11" s="32" t="s">
        <v>30</v>
      </c>
      <c r="O11" s="48" t="s">
        <v>31</v>
      </c>
      <c r="P11" s="48" t="s">
        <v>29</v>
      </c>
    </row>
    <row r="12" spans="1:16" ht="15">
      <c r="A12" s="50">
        <v>46279</v>
      </c>
      <c r="B12" s="48" t="s">
        <v>32</v>
      </c>
      <c r="C12" s="33">
        <v>22192</v>
      </c>
      <c r="D12" s="48">
        <v>123</v>
      </c>
      <c r="E12" s="48">
        <v>92.67</v>
      </c>
      <c r="F12" s="48">
        <v>1594.56</v>
      </c>
      <c r="G12" s="48">
        <v>5</v>
      </c>
      <c r="H12" s="48">
        <v>8</v>
      </c>
      <c r="I12" s="36">
        <f t="shared" si="0"/>
        <v>17.206863062479766</v>
      </c>
      <c r="J12" s="37">
        <f t="shared" si="1"/>
        <v>5.8116345574954847E-2</v>
      </c>
      <c r="K12" s="37">
        <f t="shared" si="2"/>
        <v>4.065040650406504E-2</v>
      </c>
      <c r="L12" s="36">
        <f t="shared" si="3"/>
        <v>0.75341463414634147</v>
      </c>
      <c r="M12" s="38">
        <f t="shared" si="4"/>
        <v>5.5425378514780098E-3</v>
      </c>
      <c r="N12" s="32" t="s">
        <v>30</v>
      </c>
      <c r="O12" s="51" t="s">
        <v>33</v>
      </c>
      <c r="P12" s="48" t="s">
        <v>34</v>
      </c>
    </row>
    <row r="13" spans="1:16" ht="15">
      <c r="A13" s="31">
        <v>46286</v>
      </c>
      <c r="B13" s="32" t="s">
        <v>35</v>
      </c>
      <c r="C13" s="33">
        <v>43599</v>
      </c>
      <c r="D13" s="33">
        <v>146</v>
      </c>
      <c r="E13" s="34">
        <v>130.55000000000001</v>
      </c>
      <c r="F13" s="34">
        <v>749.08</v>
      </c>
      <c r="G13" s="35">
        <v>2</v>
      </c>
      <c r="H13" s="35">
        <v>2</v>
      </c>
      <c r="I13" s="36">
        <f t="shared" si="0"/>
        <v>5.737878207583301</v>
      </c>
      <c r="J13" s="37">
        <f t="shared" si="1"/>
        <v>0.17428045068617504</v>
      </c>
      <c r="K13" s="37">
        <f t="shared" si="2"/>
        <v>1.3698630136986301E-2</v>
      </c>
      <c r="L13" s="36">
        <f t="shared" si="3"/>
        <v>0.89417808219178085</v>
      </c>
      <c r="M13" s="38">
        <f t="shared" si="4"/>
        <v>3.3487006582719786E-3</v>
      </c>
      <c r="N13" s="32" t="s">
        <v>30</v>
      </c>
      <c r="O13" s="32" t="s">
        <v>36</v>
      </c>
      <c r="P13" s="39" t="s">
        <v>37</v>
      </c>
    </row>
    <row r="14" spans="1:16" ht="15">
      <c r="A14" s="31">
        <v>46293</v>
      </c>
      <c r="B14" s="32" t="s">
        <v>38</v>
      </c>
      <c r="C14" s="33">
        <v>19379</v>
      </c>
      <c r="D14" s="33">
        <v>107</v>
      </c>
      <c r="E14" s="34">
        <v>65.97</v>
      </c>
      <c r="F14" s="34">
        <v>690.28</v>
      </c>
      <c r="G14" s="35">
        <v>2</v>
      </c>
      <c r="H14" s="35">
        <v>4</v>
      </c>
      <c r="I14" s="36">
        <f t="shared" si="0"/>
        <v>10.4635440351675</v>
      </c>
      <c r="J14" s="37">
        <f t="shared" si="1"/>
        <v>9.5569913658225647E-2</v>
      </c>
      <c r="K14" s="37">
        <f t="shared" si="2"/>
        <v>1.8691588785046728E-2</v>
      </c>
      <c r="L14" s="36">
        <f t="shared" si="3"/>
        <v>0.61654205607476631</v>
      </c>
      <c r="M14" s="38">
        <f t="shared" si="4"/>
        <v>5.5214407348160377E-3</v>
      </c>
      <c r="N14" s="32" t="s">
        <v>30</v>
      </c>
      <c r="O14" s="32" t="s">
        <v>39</v>
      </c>
      <c r="P14" s="39" t="s">
        <v>40</v>
      </c>
    </row>
    <row r="15" spans="1:16" ht="15">
      <c r="A15" s="31">
        <v>46300</v>
      </c>
      <c r="B15" s="32" t="s">
        <v>41</v>
      </c>
      <c r="C15" s="33">
        <v>39236</v>
      </c>
      <c r="D15" s="33">
        <v>125</v>
      </c>
      <c r="E15" s="34">
        <v>110.44</v>
      </c>
      <c r="F15" s="34">
        <v>3573.64</v>
      </c>
      <c r="G15" s="35">
        <v>6</v>
      </c>
      <c r="H15" s="35">
        <v>9</v>
      </c>
      <c r="I15" s="36">
        <f t="shared" si="0"/>
        <v>32.358203549438606</v>
      </c>
      <c r="J15" s="37">
        <f t="shared" si="1"/>
        <v>3.0904064203445228E-2</v>
      </c>
      <c r="K15" s="37">
        <f t="shared" si="2"/>
        <v>4.8000000000000001E-2</v>
      </c>
      <c r="L15" s="36">
        <f t="shared" si="3"/>
        <v>0.88351999999999997</v>
      </c>
      <c r="M15" s="38">
        <f t="shared" si="4"/>
        <v>3.185849729839943E-3</v>
      </c>
      <c r="N15" s="32" t="s">
        <v>30</v>
      </c>
      <c r="O15" s="32" t="s">
        <v>42</v>
      </c>
      <c r="P15" s="39" t="s">
        <v>43</v>
      </c>
    </row>
    <row r="16" spans="1:16" ht="15">
      <c r="A16" s="31">
        <v>46307</v>
      </c>
      <c r="B16" s="52" t="s">
        <v>44</v>
      </c>
      <c r="C16" s="33">
        <v>39389</v>
      </c>
      <c r="D16" s="33">
        <v>189</v>
      </c>
      <c r="E16" s="34">
        <v>143.22</v>
      </c>
      <c r="F16" s="34">
        <v>1706.59</v>
      </c>
      <c r="G16" s="35">
        <v>7</v>
      </c>
      <c r="H16" s="35">
        <v>12</v>
      </c>
      <c r="I16" s="36">
        <f t="shared" si="0"/>
        <v>11.915863706186286</v>
      </c>
      <c r="J16" s="37">
        <f t="shared" si="1"/>
        <v>8.3921738671854401E-2</v>
      </c>
      <c r="K16" s="37">
        <f t="shared" si="2"/>
        <v>3.7037037037037035E-2</v>
      </c>
      <c r="L16" s="36">
        <f t="shared" si="3"/>
        <v>0.75777777777777777</v>
      </c>
      <c r="M16" s="38">
        <f t="shared" si="4"/>
        <v>4.7982939399324681E-3</v>
      </c>
      <c r="N16" s="32" t="s">
        <v>30</v>
      </c>
      <c r="O16" s="32"/>
      <c r="P16" s="39"/>
    </row>
    <row r="17" spans="1:16" ht="15">
      <c r="A17" s="31">
        <v>46314</v>
      </c>
      <c r="B17" s="32" t="s">
        <v>45</v>
      </c>
      <c r="C17" s="33">
        <v>25000</v>
      </c>
      <c r="D17" s="33">
        <v>125</v>
      </c>
      <c r="E17" s="34">
        <v>99.02</v>
      </c>
      <c r="F17" s="34">
        <v>129.9</v>
      </c>
      <c r="G17" s="35">
        <v>1</v>
      </c>
      <c r="H17" s="35">
        <v>1</v>
      </c>
      <c r="I17" s="36">
        <f t="shared" si="0"/>
        <v>1.311856190668552</v>
      </c>
      <c r="J17" s="37">
        <f t="shared" si="1"/>
        <v>0.7622786759045419</v>
      </c>
      <c r="K17" s="37">
        <f t="shared" si="2"/>
        <v>8.0000000000000002E-3</v>
      </c>
      <c r="L17" s="36">
        <f t="shared" si="3"/>
        <v>0.79215999999999998</v>
      </c>
      <c r="M17" s="38">
        <f t="shared" si="4"/>
        <v>5.0000000000000001E-3</v>
      </c>
      <c r="N17" s="32" t="s">
        <v>30</v>
      </c>
      <c r="O17" s="32" t="s">
        <v>46</v>
      </c>
      <c r="P17" s="39" t="s">
        <v>47</v>
      </c>
    </row>
    <row r="18" spans="1:16">
      <c r="A18" s="20"/>
      <c r="B18" s="21"/>
      <c r="C18" s="8"/>
      <c r="D18" s="8"/>
      <c r="E18" s="24"/>
      <c r="F18" s="24"/>
      <c r="G18" s="9"/>
      <c r="H18" s="9"/>
      <c r="I18" s="10" t="str">
        <f t="shared" si="0"/>
        <v/>
      </c>
      <c r="J18" s="11" t="str">
        <f t="shared" si="1"/>
        <v/>
      </c>
      <c r="K18" s="11" t="str">
        <f t="shared" si="2"/>
        <v/>
      </c>
      <c r="L18" s="10" t="str">
        <f t="shared" si="3"/>
        <v/>
      </c>
      <c r="M18" s="12" t="str">
        <f t="shared" si="4"/>
        <v/>
      </c>
      <c r="N18" s="13"/>
      <c r="O18" s="1"/>
      <c r="P18" s="5"/>
    </row>
    <row r="19" spans="1:16">
      <c r="A19" s="20"/>
      <c r="B19" s="21"/>
      <c r="C19" s="8"/>
      <c r="D19" s="8"/>
      <c r="E19" s="24"/>
      <c r="F19" s="24"/>
      <c r="G19" s="9"/>
      <c r="H19" s="9"/>
      <c r="I19" s="10" t="str">
        <f t="shared" si="0"/>
        <v/>
      </c>
      <c r="J19" s="11" t="str">
        <f t="shared" si="1"/>
        <v/>
      </c>
      <c r="K19" s="11" t="str">
        <f t="shared" si="2"/>
        <v/>
      </c>
      <c r="L19" s="10" t="str">
        <f t="shared" si="3"/>
        <v/>
      </c>
      <c r="M19" s="12" t="str">
        <f t="shared" si="4"/>
        <v/>
      </c>
      <c r="N19" s="13"/>
      <c r="O19" s="1"/>
      <c r="P19" s="5"/>
    </row>
    <row r="20" spans="1:16">
      <c r="A20" s="20"/>
      <c r="B20" s="21"/>
      <c r="C20" s="8"/>
      <c r="D20" s="8"/>
      <c r="E20" s="24"/>
      <c r="F20" s="24"/>
      <c r="G20" s="9"/>
      <c r="H20" s="9"/>
      <c r="I20" s="10" t="str">
        <f t="shared" si="0"/>
        <v/>
      </c>
      <c r="J20" s="11" t="str">
        <f t="shared" si="1"/>
        <v/>
      </c>
      <c r="K20" s="11" t="str">
        <f t="shared" si="2"/>
        <v/>
      </c>
      <c r="L20" s="10" t="str">
        <f t="shared" si="3"/>
        <v/>
      </c>
      <c r="M20" s="12" t="str">
        <f t="shared" si="4"/>
        <v/>
      </c>
      <c r="N20" s="13"/>
      <c r="O20" s="1"/>
      <c r="P20" s="5"/>
    </row>
    <row r="21" spans="1:16">
      <c r="A21" s="20"/>
      <c r="B21" s="21"/>
      <c r="C21" s="8"/>
      <c r="D21" s="8"/>
      <c r="E21" s="24"/>
      <c r="F21" s="24"/>
      <c r="G21" s="9"/>
      <c r="H21" s="9"/>
      <c r="I21" s="10" t="str">
        <f t="shared" si="0"/>
        <v/>
      </c>
      <c r="J21" s="11" t="str">
        <f t="shared" si="1"/>
        <v/>
      </c>
      <c r="K21" s="11" t="str">
        <f t="shared" si="2"/>
        <v/>
      </c>
      <c r="L21" s="10" t="str">
        <f t="shared" si="3"/>
        <v/>
      </c>
      <c r="M21" s="12" t="str">
        <f t="shared" si="4"/>
        <v/>
      </c>
      <c r="N21" s="13"/>
      <c r="O21" s="1"/>
      <c r="P21" s="5"/>
    </row>
    <row r="22" spans="1:16">
      <c r="A22" s="20"/>
      <c r="B22" s="21"/>
      <c r="C22" s="8"/>
      <c r="D22" s="8"/>
      <c r="E22" s="24"/>
      <c r="F22" s="24"/>
      <c r="G22" s="9"/>
      <c r="H22" s="9"/>
      <c r="I22" s="10" t="str">
        <f t="shared" si="0"/>
        <v/>
      </c>
      <c r="J22" s="11" t="str">
        <f t="shared" si="1"/>
        <v/>
      </c>
      <c r="K22" s="11" t="str">
        <f t="shared" si="2"/>
        <v/>
      </c>
      <c r="L22" s="10" t="str">
        <f t="shared" si="3"/>
        <v/>
      </c>
      <c r="M22" s="12" t="str">
        <f t="shared" si="4"/>
        <v/>
      </c>
      <c r="N22" s="13"/>
      <c r="O22" s="1"/>
      <c r="P22" s="5"/>
    </row>
    <row r="23" spans="1:16">
      <c r="A23" s="20"/>
      <c r="B23" s="21"/>
      <c r="C23" s="8"/>
      <c r="D23" s="8"/>
      <c r="E23" s="24"/>
      <c r="F23" s="24"/>
      <c r="G23" s="9"/>
      <c r="H23" s="9"/>
      <c r="I23" s="10" t="str">
        <f t="shared" si="0"/>
        <v/>
      </c>
      <c r="J23" s="11" t="str">
        <f t="shared" si="1"/>
        <v/>
      </c>
      <c r="K23" s="11" t="str">
        <f t="shared" si="2"/>
        <v/>
      </c>
      <c r="L23" s="10" t="str">
        <f t="shared" si="3"/>
        <v/>
      </c>
      <c r="M23" s="12" t="str">
        <f t="shared" si="4"/>
        <v/>
      </c>
      <c r="N23" s="13"/>
      <c r="O23" s="1"/>
      <c r="P23" s="5"/>
    </row>
    <row r="24" spans="1:16">
      <c r="A24" s="20"/>
      <c r="B24" s="21"/>
      <c r="C24" s="8"/>
      <c r="D24" s="8"/>
      <c r="E24" s="24"/>
      <c r="F24" s="24"/>
      <c r="G24" s="9"/>
      <c r="H24" s="9"/>
      <c r="I24" s="10" t="str">
        <f t="shared" si="0"/>
        <v/>
      </c>
      <c r="J24" s="11" t="str">
        <f t="shared" si="1"/>
        <v/>
      </c>
      <c r="K24" s="11" t="str">
        <f t="shared" si="2"/>
        <v/>
      </c>
      <c r="L24" s="10" t="str">
        <f t="shared" si="3"/>
        <v/>
      </c>
      <c r="M24" s="12" t="str">
        <f t="shared" si="4"/>
        <v/>
      </c>
      <c r="N24" s="13"/>
      <c r="O24" s="1"/>
      <c r="P24" s="5"/>
    </row>
    <row r="25" spans="1:16">
      <c r="A25" s="20"/>
      <c r="B25" s="21"/>
      <c r="C25" s="8"/>
      <c r="D25" s="8"/>
      <c r="E25" s="24"/>
      <c r="F25" s="24"/>
      <c r="G25" s="9"/>
      <c r="H25" s="9"/>
      <c r="I25" s="10" t="str">
        <f t="shared" si="0"/>
        <v/>
      </c>
      <c r="J25" s="11" t="str">
        <f t="shared" si="1"/>
        <v/>
      </c>
      <c r="K25" s="11" t="str">
        <f t="shared" si="2"/>
        <v/>
      </c>
      <c r="L25" s="10" t="str">
        <f t="shared" si="3"/>
        <v/>
      </c>
      <c r="M25" s="12" t="str">
        <f t="shared" si="4"/>
        <v/>
      </c>
      <c r="N25" s="13"/>
      <c r="O25" s="1"/>
      <c r="P25" s="5"/>
    </row>
    <row r="26" spans="1:16">
      <c r="A26" s="20"/>
      <c r="B26" s="21"/>
      <c r="C26" s="8"/>
      <c r="D26" s="8"/>
      <c r="E26" s="24"/>
      <c r="F26" s="24"/>
      <c r="G26" s="9"/>
      <c r="H26" s="9"/>
      <c r="I26" s="10" t="str">
        <f t="shared" si="0"/>
        <v/>
      </c>
      <c r="J26" s="11" t="str">
        <f t="shared" si="1"/>
        <v/>
      </c>
      <c r="K26" s="11" t="str">
        <f t="shared" si="2"/>
        <v/>
      </c>
      <c r="L26" s="10" t="str">
        <f t="shared" si="3"/>
        <v/>
      </c>
      <c r="M26" s="12" t="str">
        <f t="shared" si="4"/>
        <v/>
      </c>
      <c r="N26" s="13"/>
      <c r="O26" s="1"/>
      <c r="P26" s="5"/>
    </row>
    <row r="27" spans="1:16">
      <c r="A27" s="20"/>
      <c r="B27" s="21"/>
      <c r="C27" s="8"/>
      <c r="D27" s="8"/>
      <c r="E27" s="24"/>
      <c r="F27" s="24"/>
      <c r="G27" s="9"/>
      <c r="H27" s="9"/>
      <c r="I27" s="10" t="str">
        <f t="shared" si="0"/>
        <v/>
      </c>
      <c r="J27" s="11" t="str">
        <f t="shared" si="1"/>
        <v/>
      </c>
      <c r="K27" s="11" t="str">
        <f t="shared" si="2"/>
        <v/>
      </c>
      <c r="L27" s="10" t="str">
        <f t="shared" si="3"/>
        <v/>
      </c>
      <c r="M27" s="12" t="str">
        <f t="shared" si="4"/>
        <v/>
      </c>
      <c r="N27" s="13"/>
      <c r="O27" s="1"/>
      <c r="P27" s="5"/>
    </row>
    <row r="28" spans="1:16">
      <c r="A28" s="20"/>
      <c r="B28" s="21"/>
      <c r="C28" s="8"/>
      <c r="D28" s="8"/>
      <c r="E28" s="24"/>
      <c r="F28" s="24"/>
      <c r="G28" s="9"/>
      <c r="H28" s="9"/>
      <c r="I28" s="10" t="str">
        <f t="shared" si="0"/>
        <v/>
      </c>
      <c r="J28" s="11" t="str">
        <f t="shared" si="1"/>
        <v/>
      </c>
      <c r="K28" s="11" t="str">
        <f t="shared" si="2"/>
        <v/>
      </c>
      <c r="L28" s="10" t="str">
        <f t="shared" si="3"/>
        <v/>
      </c>
      <c r="M28" s="12" t="str">
        <f t="shared" si="4"/>
        <v/>
      </c>
      <c r="N28" s="13"/>
      <c r="O28" s="1"/>
      <c r="P28" s="5"/>
    </row>
    <row r="29" spans="1:16">
      <c r="A29" s="20"/>
      <c r="B29" s="21"/>
      <c r="C29" s="8"/>
      <c r="D29" s="8"/>
      <c r="E29" s="24"/>
      <c r="F29" s="24"/>
      <c r="G29" s="9"/>
      <c r="H29" s="9"/>
      <c r="I29" s="10" t="str">
        <f t="shared" si="0"/>
        <v/>
      </c>
      <c r="J29" s="11" t="str">
        <f t="shared" si="1"/>
        <v/>
      </c>
      <c r="K29" s="11" t="str">
        <f t="shared" si="2"/>
        <v/>
      </c>
      <c r="L29" s="10" t="str">
        <f t="shared" si="3"/>
        <v/>
      </c>
      <c r="M29" s="12" t="str">
        <f t="shared" si="4"/>
        <v/>
      </c>
      <c r="N29" s="13"/>
      <c r="O29" s="1"/>
      <c r="P29" s="5"/>
    </row>
    <row r="30" spans="1:16">
      <c r="A30" s="20"/>
      <c r="B30" s="21"/>
      <c r="C30" s="8"/>
      <c r="D30" s="8"/>
      <c r="E30" s="24"/>
      <c r="F30" s="24"/>
      <c r="G30" s="9"/>
      <c r="H30" s="9"/>
      <c r="I30" s="10" t="str">
        <f t="shared" si="0"/>
        <v/>
      </c>
      <c r="J30" s="11" t="str">
        <f t="shared" si="1"/>
        <v/>
      </c>
      <c r="K30" s="11" t="str">
        <f t="shared" si="2"/>
        <v/>
      </c>
      <c r="L30" s="10" t="str">
        <f t="shared" si="3"/>
        <v/>
      </c>
      <c r="M30" s="12" t="str">
        <f t="shared" si="4"/>
        <v/>
      </c>
      <c r="N30" s="13"/>
      <c r="O30" s="1"/>
      <c r="P30" s="5"/>
    </row>
    <row r="31" spans="1:16">
      <c r="A31" s="20"/>
      <c r="B31" s="21"/>
      <c r="C31" s="8"/>
      <c r="D31" s="8"/>
      <c r="E31" s="24"/>
      <c r="F31" s="24"/>
      <c r="G31" s="9"/>
      <c r="H31" s="9"/>
      <c r="I31" s="10" t="str">
        <f t="shared" si="0"/>
        <v/>
      </c>
      <c r="J31" s="11" t="str">
        <f t="shared" si="1"/>
        <v/>
      </c>
      <c r="K31" s="11" t="str">
        <f t="shared" si="2"/>
        <v/>
      </c>
      <c r="L31" s="10" t="str">
        <f t="shared" si="3"/>
        <v/>
      </c>
      <c r="M31" s="12" t="str">
        <f t="shared" si="4"/>
        <v/>
      </c>
      <c r="N31" s="13"/>
      <c r="O31" s="1"/>
      <c r="P31" s="5"/>
    </row>
    <row r="32" spans="1:16">
      <c r="A32" s="20"/>
      <c r="B32" s="21"/>
      <c r="C32" s="8"/>
      <c r="D32" s="8"/>
      <c r="E32" s="24"/>
      <c r="F32" s="24"/>
      <c r="G32" s="9"/>
      <c r="H32" s="9"/>
      <c r="I32" s="10" t="str">
        <f t="shared" si="0"/>
        <v/>
      </c>
      <c r="J32" s="11" t="str">
        <f t="shared" si="1"/>
        <v/>
      </c>
      <c r="K32" s="11" t="str">
        <f t="shared" si="2"/>
        <v/>
      </c>
      <c r="L32" s="10" t="str">
        <f t="shared" si="3"/>
        <v/>
      </c>
      <c r="M32" s="12" t="str">
        <f t="shared" si="4"/>
        <v/>
      </c>
      <c r="N32" s="13"/>
      <c r="O32" s="1"/>
      <c r="P32" s="5"/>
    </row>
    <row r="33" spans="1:16">
      <c r="A33" s="20"/>
      <c r="B33" s="21"/>
      <c r="C33" s="8"/>
      <c r="D33" s="8"/>
      <c r="E33" s="24"/>
      <c r="F33" s="24"/>
      <c r="G33" s="9"/>
      <c r="H33" s="9"/>
      <c r="I33" s="10" t="str">
        <f t="shared" si="0"/>
        <v/>
      </c>
      <c r="J33" s="11" t="str">
        <f t="shared" si="1"/>
        <v/>
      </c>
      <c r="K33" s="11" t="str">
        <f t="shared" si="2"/>
        <v/>
      </c>
      <c r="L33" s="10" t="str">
        <f t="shared" si="3"/>
        <v/>
      </c>
      <c r="M33" s="12" t="str">
        <f t="shared" si="4"/>
        <v/>
      </c>
      <c r="N33" s="13"/>
      <c r="O33" s="1"/>
      <c r="P33" s="5"/>
    </row>
    <row r="34" spans="1:16">
      <c r="A34" s="20"/>
      <c r="B34" s="21"/>
      <c r="C34" s="8"/>
      <c r="D34" s="8"/>
      <c r="E34" s="24"/>
      <c r="F34" s="24"/>
      <c r="G34" s="9"/>
      <c r="H34" s="9"/>
      <c r="I34" s="10" t="str">
        <f t="shared" si="0"/>
        <v/>
      </c>
      <c r="J34" s="11" t="str">
        <f t="shared" si="1"/>
        <v/>
      </c>
      <c r="K34" s="11" t="str">
        <f t="shared" si="2"/>
        <v/>
      </c>
      <c r="L34" s="10" t="str">
        <f t="shared" si="3"/>
        <v/>
      </c>
      <c r="M34" s="12" t="str">
        <f t="shared" si="4"/>
        <v/>
      </c>
      <c r="N34" s="13"/>
      <c r="O34" s="1"/>
      <c r="P34" s="5"/>
    </row>
    <row r="35" spans="1:16">
      <c r="A35" s="20"/>
      <c r="B35" s="21"/>
      <c r="C35" s="8"/>
      <c r="D35" s="8"/>
      <c r="E35" s="24"/>
      <c r="F35" s="24"/>
      <c r="G35" s="9"/>
      <c r="H35" s="9"/>
      <c r="I35" s="10" t="str">
        <f t="shared" si="0"/>
        <v/>
      </c>
      <c r="J35" s="11" t="str">
        <f t="shared" si="1"/>
        <v/>
      </c>
      <c r="K35" s="11" t="str">
        <f t="shared" si="2"/>
        <v/>
      </c>
      <c r="L35" s="10" t="str">
        <f t="shared" si="3"/>
        <v/>
      </c>
      <c r="M35" s="12" t="str">
        <f t="shared" si="4"/>
        <v/>
      </c>
      <c r="N35" s="13"/>
      <c r="O35" s="1"/>
      <c r="P35" s="5"/>
    </row>
    <row r="36" spans="1:16">
      <c r="A36" s="20"/>
      <c r="B36" s="21"/>
      <c r="C36" s="8"/>
      <c r="D36" s="8"/>
      <c r="E36" s="24"/>
      <c r="F36" s="24"/>
      <c r="G36" s="9"/>
      <c r="H36" s="9"/>
      <c r="I36" s="10" t="str">
        <f t="shared" si="0"/>
        <v/>
      </c>
      <c r="J36" s="11" t="str">
        <f t="shared" si="1"/>
        <v/>
      </c>
      <c r="K36" s="11" t="str">
        <f t="shared" si="2"/>
        <v/>
      </c>
      <c r="L36" s="10" t="str">
        <f t="shared" si="3"/>
        <v/>
      </c>
      <c r="M36" s="12" t="str">
        <f t="shared" si="4"/>
        <v/>
      </c>
      <c r="N36" s="13"/>
      <c r="O36" s="1"/>
      <c r="P36" s="5"/>
    </row>
    <row r="37" spans="1:16">
      <c r="A37" s="20"/>
      <c r="B37" s="21"/>
      <c r="C37" s="8"/>
      <c r="D37" s="8"/>
      <c r="E37" s="24"/>
      <c r="F37" s="24"/>
      <c r="G37" s="9"/>
      <c r="H37" s="9"/>
      <c r="I37" s="10" t="str">
        <f t="shared" si="0"/>
        <v/>
      </c>
      <c r="J37" s="11" t="str">
        <f t="shared" si="1"/>
        <v/>
      </c>
      <c r="K37" s="11" t="str">
        <f t="shared" si="2"/>
        <v/>
      </c>
      <c r="L37" s="10" t="str">
        <f t="shared" si="3"/>
        <v/>
      </c>
      <c r="M37" s="12" t="str">
        <f t="shared" si="4"/>
        <v/>
      </c>
      <c r="N37" s="13"/>
      <c r="O37" s="1"/>
      <c r="P37" s="5"/>
    </row>
    <row r="38" spans="1:16">
      <c r="A38" s="20"/>
      <c r="B38" s="21"/>
      <c r="C38" s="8"/>
      <c r="D38" s="8"/>
      <c r="E38" s="24"/>
      <c r="F38" s="24"/>
      <c r="G38" s="9"/>
      <c r="H38" s="9"/>
      <c r="I38" s="10" t="str">
        <f t="shared" ref="I38:I60" si="5">IF(E38=0,"",F38/E38)</f>
        <v/>
      </c>
      <c r="J38" s="11" t="str">
        <f t="shared" ref="J38:J60" si="6">IF(F38=0,"",E38/F38)</f>
        <v/>
      </c>
      <c r="K38" s="11" t="str">
        <f t="shared" ref="K38:K60" si="7">IF(D38=0,"",G38/D38)</f>
        <v/>
      </c>
      <c r="L38" s="10" t="str">
        <f t="shared" ref="L38:L60" si="8">IF(D38=0,"",E38/D38)</f>
        <v/>
      </c>
      <c r="M38" s="12" t="str">
        <f t="shared" ref="M38:M60" si="9">IF(C38=0,"",D38/C38)</f>
        <v/>
      </c>
      <c r="N38" s="13"/>
      <c r="O38" s="1"/>
      <c r="P38" s="5"/>
    </row>
    <row r="39" spans="1:16">
      <c r="A39" s="20"/>
      <c r="B39" s="21"/>
      <c r="C39" s="8"/>
      <c r="D39" s="8"/>
      <c r="E39" s="24"/>
      <c r="F39" s="24"/>
      <c r="G39" s="9"/>
      <c r="H39" s="9"/>
      <c r="I39" s="10" t="str">
        <f t="shared" si="5"/>
        <v/>
      </c>
      <c r="J39" s="11" t="str">
        <f t="shared" si="6"/>
        <v/>
      </c>
      <c r="K39" s="11" t="str">
        <f t="shared" si="7"/>
        <v/>
      </c>
      <c r="L39" s="10" t="str">
        <f t="shared" si="8"/>
        <v/>
      </c>
      <c r="M39" s="12" t="str">
        <f t="shared" si="9"/>
        <v/>
      </c>
      <c r="N39" s="13"/>
      <c r="O39" s="1"/>
      <c r="P39" s="5"/>
    </row>
    <row r="40" spans="1:16">
      <c r="A40" s="20"/>
      <c r="B40" s="21"/>
      <c r="C40" s="8"/>
      <c r="D40" s="8"/>
      <c r="E40" s="24"/>
      <c r="F40" s="24"/>
      <c r="G40" s="9"/>
      <c r="H40" s="9"/>
      <c r="I40" s="10" t="str">
        <f t="shared" si="5"/>
        <v/>
      </c>
      <c r="J40" s="11" t="str">
        <f t="shared" si="6"/>
        <v/>
      </c>
      <c r="K40" s="11" t="str">
        <f t="shared" si="7"/>
        <v/>
      </c>
      <c r="L40" s="10" t="str">
        <f t="shared" si="8"/>
        <v/>
      </c>
      <c r="M40" s="12" t="str">
        <f t="shared" si="9"/>
        <v/>
      </c>
      <c r="N40" s="13"/>
      <c r="O40" s="1"/>
      <c r="P40" s="5"/>
    </row>
    <row r="41" spans="1:16">
      <c r="A41" s="20"/>
      <c r="B41" s="21"/>
      <c r="C41" s="8"/>
      <c r="D41" s="8"/>
      <c r="E41" s="24"/>
      <c r="F41" s="24"/>
      <c r="G41" s="9"/>
      <c r="H41" s="9"/>
      <c r="I41" s="10" t="str">
        <f t="shared" si="5"/>
        <v/>
      </c>
      <c r="J41" s="11" t="str">
        <f t="shared" si="6"/>
        <v/>
      </c>
      <c r="K41" s="11" t="str">
        <f t="shared" si="7"/>
        <v/>
      </c>
      <c r="L41" s="10" t="str">
        <f t="shared" si="8"/>
        <v/>
      </c>
      <c r="M41" s="12" t="str">
        <f t="shared" si="9"/>
        <v/>
      </c>
      <c r="N41" s="13"/>
      <c r="O41" s="1"/>
      <c r="P41" s="5"/>
    </row>
    <row r="42" spans="1:16">
      <c r="A42" s="20"/>
      <c r="B42" s="21"/>
      <c r="C42" s="8"/>
      <c r="D42" s="8"/>
      <c r="E42" s="24"/>
      <c r="F42" s="24"/>
      <c r="G42" s="9"/>
      <c r="H42" s="9"/>
      <c r="I42" s="10" t="str">
        <f t="shared" si="5"/>
        <v/>
      </c>
      <c r="J42" s="11" t="str">
        <f t="shared" si="6"/>
        <v/>
      </c>
      <c r="K42" s="11" t="str">
        <f t="shared" si="7"/>
        <v/>
      </c>
      <c r="L42" s="10" t="str">
        <f t="shared" si="8"/>
        <v/>
      </c>
      <c r="M42" s="12" t="str">
        <f t="shared" si="9"/>
        <v/>
      </c>
      <c r="N42" s="13"/>
      <c r="O42" s="1"/>
      <c r="P42" s="5"/>
    </row>
    <row r="43" spans="1:16">
      <c r="A43" s="20"/>
      <c r="B43" s="21"/>
      <c r="C43" s="8"/>
      <c r="D43" s="8"/>
      <c r="E43" s="24"/>
      <c r="F43" s="24"/>
      <c r="G43" s="9"/>
      <c r="H43" s="9"/>
      <c r="I43" s="10" t="str">
        <f t="shared" si="5"/>
        <v/>
      </c>
      <c r="J43" s="11" t="str">
        <f t="shared" si="6"/>
        <v/>
      </c>
      <c r="K43" s="11" t="str">
        <f t="shared" si="7"/>
        <v/>
      </c>
      <c r="L43" s="10" t="str">
        <f t="shared" si="8"/>
        <v/>
      </c>
      <c r="M43" s="12" t="str">
        <f t="shared" si="9"/>
        <v/>
      </c>
      <c r="N43" s="13"/>
      <c r="O43" s="1"/>
      <c r="P43" s="5"/>
    </row>
    <row r="44" spans="1:16">
      <c r="A44" s="20"/>
      <c r="B44" s="21"/>
      <c r="C44" s="8"/>
      <c r="D44" s="8"/>
      <c r="E44" s="24"/>
      <c r="F44" s="24"/>
      <c r="G44" s="9"/>
      <c r="H44" s="9"/>
      <c r="I44" s="10" t="str">
        <f t="shared" si="5"/>
        <v/>
      </c>
      <c r="J44" s="11" t="str">
        <f t="shared" si="6"/>
        <v/>
      </c>
      <c r="K44" s="11" t="str">
        <f t="shared" si="7"/>
        <v/>
      </c>
      <c r="L44" s="10" t="str">
        <f t="shared" si="8"/>
        <v/>
      </c>
      <c r="M44" s="12" t="str">
        <f t="shared" si="9"/>
        <v/>
      </c>
      <c r="N44" s="13"/>
      <c r="O44" s="1"/>
      <c r="P44" s="5"/>
    </row>
    <row r="45" spans="1:16">
      <c r="A45" s="20"/>
      <c r="B45" s="21"/>
      <c r="C45" s="8"/>
      <c r="D45" s="8"/>
      <c r="E45" s="24"/>
      <c r="F45" s="24"/>
      <c r="G45" s="9"/>
      <c r="H45" s="9"/>
      <c r="I45" s="10" t="str">
        <f t="shared" si="5"/>
        <v/>
      </c>
      <c r="J45" s="11" t="str">
        <f t="shared" si="6"/>
        <v/>
      </c>
      <c r="K45" s="11" t="str">
        <f t="shared" si="7"/>
        <v/>
      </c>
      <c r="L45" s="10" t="str">
        <f t="shared" si="8"/>
        <v/>
      </c>
      <c r="M45" s="12" t="str">
        <f t="shared" si="9"/>
        <v/>
      </c>
      <c r="N45" s="13"/>
      <c r="O45" s="1"/>
      <c r="P45" s="5"/>
    </row>
    <row r="46" spans="1:16">
      <c r="A46" s="20"/>
      <c r="B46" s="21"/>
      <c r="C46" s="8"/>
      <c r="D46" s="8"/>
      <c r="E46" s="24"/>
      <c r="F46" s="24"/>
      <c r="G46" s="9"/>
      <c r="H46" s="9"/>
      <c r="I46" s="10" t="str">
        <f t="shared" si="5"/>
        <v/>
      </c>
      <c r="J46" s="11" t="str">
        <f t="shared" si="6"/>
        <v/>
      </c>
      <c r="K46" s="11" t="str">
        <f t="shared" si="7"/>
        <v/>
      </c>
      <c r="L46" s="10" t="str">
        <f t="shared" si="8"/>
        <v/>
      </c>
      <c r="M46" s="12" t="str">
        <f t="shared" si="9"/>
        <v/>
      </c>
      <c r="N46" s="13"/>
      <c r="O46" s="1"/>
      <c r="P46" s="5"/>
    </row>
    <row r="47" spans="1:16">
      <c r="A47" s="20"/>
      <c r="B47" s="21"/>
      <c r="C47" s="8"/>
      <c r="D47" s="8"/>
      <c r="E47" s="24"/>
      <c r="F47" s="24"/>
      <c r="G47" s="9"/>
      <c r="H47" s="9"/>
      <c r="I47" s="10" t="str">
        <f t="shared" si="5"/>
        <v/>
      </c>
      <c r="J47" s="11" t="str">
        <f t="shared" si="6"/>
        <v/>
      </c>
      <c r="K47" s="11" t="str">
        <f t="shared" si="7"/>
        <v/>
      </c>
      <c r="L47" s="10" t="str">
        <f t="shared" si="8"/>
        <v/>
      </c>
      <c r="M47" s="12" t="str">
        <f t="shared" si="9"/>
        <v/>
      </c>
      <c r="N47" s="13"/>
      <c r="O47" s="1"/>
      <c r="P47" s="5"/>
    </row>
    <row r="48" spans="1:16">
      <c r="A48" s="20"/>
      <c r="B48" s="21"/>
      <c r="C48" s="8"/>
      <c r="D48" s="8"/>
      <c r="E48" s="24"/>
      <c r="F48" s="24"/>
      <c r="G48" s="9"/>
      <c r="H48" s="9"/>
      <c r="I48" s="10" t="str">
        <f t="shared" si="5"/>
        <v/>
      </c>
      <c r="J48" s="11" t="str">
        <f t="shared" si="6"/>
        <v/>
      </c>
      <c r="K48" s="11" t="str">
        <f t="shared" si="7"/>
        <v/>
      </c>
      <c r="L48" s="10" t="str">
        <f t="shared" si="8"/>
        <v/>
      </c>
      <c r="M48" s="12" t="str">
        <f t="shared" si="9"/>
        <v/>
      </c>
      <c r="N48" s="13"/>
      <c r="O48" s="1"/>
      <c r="P48" s="5"/>
    </row>
    <row r="49" spans="1:16">
      <c r="A49" s="20"/>
      <c r="B49" s="21"/>
      <c r="C49" s="8"/>
      <c r="D49" s="8"/>
      <c r="E49" s="24"/>
      <c r="F49" s="24"/>
      <c r="G49" s="9"/>
      <c r="H49" s="9"/>
      <c r="I49" s="10" t="str">
        <f t="shared" si="5"/>
        <v/>
      </c>
      <c r="J49" s="11" t="str">
        <f t="shared" si="6"/>
        <v/>
      </c>
      <c r="K49" s="11" t="str">
        <f t="shared" si="7"/>
        <v/>
      </c>
      <c r="L49" s="10" t="str">
        <f t="shared" si="8"/>
        <v/>
      </c>
      <c r="M49" s="12" t="str">
        <f t="shared" si="9"/>
        <v/>
      </c>
      <c r="N49" s="13"/>
      <c r="O49" s="1"/>
      <c r="P49" s="5"/>
    </row>
    <row r="50" spans="1:16">
      <c r="A50" s="20"/>
      <c r="B50" s="21"/>
      <c r="C50" s="8"/>
      <c r="D50" s="8"/>
      <c r="E50" s="24"/>
      <c r="F50" s="24"/>
      <c r="G50" s="9"/>
      <c r="H50" s="9"/>
      <c r="I50" s="10" t="str">
        <f t="shared" si="5"/>
        <v/>
      </c>
      <c r="J50" s="11" t="str">
        <f t="shared" si="6"/>
        <v/>
      </c>
      <c r="K50" s="11" t="str">
        <f t="shared" si="7"/>
        <v/>
      </c>
      <c r="L50" s="10" t="str">
        <f t="shared" si="8"/>
        <v/>
      </c>
      <c r="M50" s="12" t="str">
        <f t="shared" si="9"/>
        <v/>
      </c>
      <c r="N50" s="13"/>
      <c r="O50" s="1"/>
      <c r="P50" s="5"/>
    </row>
    <row r="51" spans="1:16">
      <c r="A51" s="20"/>
      <c r="B51" s="21"/>
      <c r="C51" s="8"/>
      <c r="D51" s="8"/>
      <c r="E51" s="24"/>
      <c r="F51" s="24"/>
      <c r="G51" s="9"/>
      <c r="H51" s="9"/>
      <c r="I51" s="10" t="str">
        <f t="shared" si="5"/>
        <v/>
      </c>
      <c r="J51" s="11" t="str">
        <f t="shared" si="6"/>
        <v/>
      </c>
      <c r="K51" s="11" t="str">
        <f t="shared" si="7"/>
        <v/>
      </c>
      <c r="L51" s="10" t="str">
        <f t="shared" si="8"/>
        <v/>
      </c>
      <c r="M51" s="12" t="str">
        <f t="shared" si="9"/>
        <v/>
      </c>
      <c r="N51" s="13"/>
      <c r="O51" s="1"/>
      <c r="P51" s="5"/>
    </row>
    <row r="52" spans="1:16">
      <c r="A52" s="20"/>
      <c r="B52" s="21"/>
      <c r="C52" s="8"/>
      <c r="D52" s="8"/>
      <c r="E52" s="24"/>
      <c r="F52" s="24"/>
      <c r="G52" s="9"/>
      <c r="H52" s="9"/>
      <c r="I52" s="10" t="str">
        <f t="shared" si="5"/>
        <v/>
      </c>
      <c r="J52" s="11" t="str">
        <f t="shared" si="6"/>
        <v/>
      </c>
      <c r="K52" s="11" t="str">
        <f t="shared" si="7"/>
        <v/>
      </c>
      <c r="L52" s="10" t="str">
        <f t="shared" si="8"/>
        <v/>
      </c>
      <c r="M52" s="12" t="str">
        <f t="shared" si="9"/>
        <v/>
      </c>
      <c r="N52" s="13"/>
      <c r="O52" s="1"/>
      <c r="P52" s="5"/>
    </row>
    <row r="53" spans="1:16">
      <c r="A53" s="20"/>
      <c r="B53" s="21"/>
      <c r="C53" s="8"/>
      <c r="D53" s="8"/>
      <c r="E53" s="24"/>
      <c r="F53" s="24"/>
      <c r="G53" s="9"/>
      <c r="H53" s="9"/>
      <c r="I53" s="10" t="str">
        <f t="shared" si="5"/>
        <v/>
      </c>
      <c r="J53" s="11" t="str">
        <f t="shared" si="6"/>
        <v/>
      </c>
      <c r="K53" s="11" t="str">
        <f t="shared" si="7"/>
        <v/>
      </c>
      <c r="L53" s="10" t="str">
        <f t="shared" si="8"/>
        <v/>
      </c>
      <c r="M53" s="12" t="str">
        <f t="shared" si="9"/>
        <v/>
      </c>
      <c r="N53" s="13"/>
      <c r="O53" s="1"/>
      <c r="P53" s="5"/>
    </row>
    <row r="54" spans="1:16">
      <c r="A54" s="20"/>
      <c r="B54" s="21"/>
      <c r="C54" s="8"/>
      <c r="D54" s="8"/>
      <c r="E54" s="24"/>
      <c r="F54" s="24"/>
      <c r="G54" s="9"/>
      <c r="H54" s="9"/>
      <c r="I54" s="10" t="str">
        <f t="shared" si="5"/>
        <v/>
      </c>
      <c r="J54" s="11" t="str">
        <f t="shared" si="6"/>
        <v/>
      </c>
      <c r="K54" s="11" t="str">
        <f t="shared" si="7"/>
        <v/>
      </c>
      <c r="L54" s="10" t="str">
        <f t="shared" si="8"/>
        <v/>
      </c>
      <c r="M54" s="12" t="str">
        <f t="shared" si="9"/>
        <v/>
      </c>
      <c r="N54" s="13"/>
      <c r="O54" s="1"/>
      <c r="P54" s="5"/>
    </row>
    <row r="55" spans="1:16">
      <c r="A55" s="20"/>
      <c r="B55" s="21"/>
      <c r="C55" s="8"/>
      <c r="D55" s="8"/>
      <c r="E55" s="24"/>
      <c r="F55" s="24"/>
      <c r="G55" s="9"/>
      <c r="H55" s="9"/>
      <c r="I55" s="10" t="str">
        <f t="shared" si="5"/>
        <v/>
      </c>
      <c r="J55" s="11" t="str">
        <f t="shared" si="6"/>
        <v/>
      </c>
      <c r="K55" s="11" t="str">
        <f t="shared" si="7"/>
        <v/>
      </c>
      <c r="L55" s="10" t="str">
        <f t="shared" si="8"/>
        <v/>
      </c>
      <c r="M55" s="12" t="str">
        <f t="shared" si="9"/>
        <v/>
      </c>
      <c r="N55" s="13"/>
      <c r="O55" s="1"/>
      <c r="P55" s="5"/>
    </row>
    <row r="56" spans="1:16">
      <c r="A56" s="20"/>
      <c r="B56" s="21"/>
      <c r="C56" s="8"/>
      <c r="D56" s="8"/>
      <c r="E56" s="24"/>
      <c r="F56" s="24"/>
      <c r="G56" s="9"/>
      <c r="H56" s="9"/>
      <c r="I56" s="10" t="str">
        <f t="shared" si="5"/>
        <v/>
      </c>
      <c r="J56" s="11" t="str">
        <f t="shared" si="6"/>
        <v/>
      </c>
      <c r="K56" s="11" t="str">
        <f t="shared" si="7"/>
        <v/>
      </c>
      <c r="L56" s="10" t="str">
        <f t="shared" si="8"/>
        <v/>
      </c>
      <c r="M56" s="12" t="str">
        <f t="shared" si="9"/>
        <v/>
      </c>
      <c r="N56" s="13"/>
      <c r="O56" s="1"/>
      <c r="P56" s="5"/>
    </row>
    <row r="57" spans="1:16">
      <c r="A57" s="20"/>
      <c r="B57" s="21"/>
      <c r="C57" s="8"/>
      <c r="D57" s="8"/>
      <c r="E57" s="24"/>
      <c r="F57" s="24"/>
      <c r="G57" s="9"/>
      <c r="H57" s="9"/>
      <c r="I57" s="10" t="str">
        <f t="shared" si="5"/>
        <v/>
      </c>
      <c r="J57" s="11" t="str">
        <f t="shared" si="6"/>
        <v/>
      </c>
      <c r="K57" s="11" t="str">
        <f t="shared" si="7"/>
        <v/>
      </c>
      <c r="L57" s="10" t="str">
        <f t="shared" si="8"/>
        <v/>
      </c>
      <c r="M57" s="12" t="str">
        <f t="shared" si="9"/>
        <v/>
      </c>
      <c r="N57" s="13"/>
      <c r="O57" s="1"/>
      <c r="P57" s="5"/>
    </row>
    <row r="58" spans="1:16">
      <c r="A58" s="20"/>
      <c r="B58" s="21"/>
      <c r="C58" s="8"/>
      <c r="D58" s="8"/>
      <c r="E58" s="24"/>
      <c r="F58" s="24"/>
      <c r="G58" s="9"/>
      <c r="H58" s="9"/>
      <c r="I58" s="10" t="str">
        <f t="shared" si="5"/>
        <v/>
      </c>
      <c r="J58" s="11" t="str">
        <f t="shared" si="6"/>
        <v/>
      </c>
      <c r="K58" s="11" t="str">
        <f t="shared" si="7"/>
        <v/>
      </c>
      <c r="L58" s="10" t="str">
        <f t="shared" si="8"/>
        <v/>
      </c>
      <c r="M58" s="12" t="str">
        <f t="shared" si="9"/>
        <v/>
      </c>
      <c r="N58" s="13"/>
      <c r="O58" s="1"/>
      <c r="P58" s="5"/>
    </row>
    <row r="59" spans="1:16">
      <c r="A59" s="20"/>
      <c r="B59" s="21"/>
      <c r="C59" s="8"/>
      <c r="D59" s="8"/>
      <c r="E59" s="24"/>
      <c r="F59" s="24"/>
      <c r="G59" s="9"/>
      <c r="H59" s="9"/>
      <c r="I59" s="10" t="str">
        <f t="shared" si="5"/>
        <v/>
      </c>
      <c r="J59" s="11" t="str">
        <f t="shared" si="6"/>
        <v/>
      </c>
      <c r="K59" s="11" t="str">
        <f t="shared" si="7"/>
        <v/>
      </c>
      <c r="L59" s="10" t="str">
        <f t="shared" si="8"/>
        <v/>
      </c>
      <c r="M59" s="12" t="str">
        <f t="shared" si="9"/>
        <v/>
      </c>
      <c r="N59" s="13"/>
      <c r="O59" s="1"/>
      <c r="P59" s="5"/>
    </row>
    <row r="60" spans="1:16">
      <c r="A60" s="22"/>
      <c r="B60" s="23"/>
      <c r="C60" s="14"/>
      <c r="D60" s="14"/>
      <c r="E60" s="25"/>
      <c r="F60" s="25"/>
      <c r="G60" s="15"/>
      <c r="H60" s="15"/>
      <c r="I60" s="16" t="str">
        <f t="shared" si="5"/>
        <v/>
      </c>
      <c r="J60" s="17" t="str">
        <f t="shared" si="6"/>
        <v/>
      </c>
      <c r="K60" s="17" t="str">
        <f t="shared" si="7"/>
        <v/>
      </c>
      <c r="L60" s="16" t="str">
        <f t="shared" si="8"/>
        <v/>
      </c>
      <c r="M60" s="18" t="str">
        <f t="shared" si="9"/>
        <v/>
      </c>
      <c r="N60" s="19"/>
      <c r="O60" s="6"/>
      <c r="P60" s="7"/>
    </row>
    <row r="62" spans="1:16" ht="26.1" customHeight="1">
      <c r="A62" s="29" t="s">
        <v>24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</sheetData>
  <mergeCells count="5">
    <mergeCell ref="A1:P1"/>
    <mergeCell ref="A2:P2"/>
    <mergeCell ref="A3:P3"/>
    <mergeCell ref="A62:P62"/>
    <mergeCell ref="A4:P4"/>
  </mergeCells>
  <conditionalFormatting sqref="N6:N60">
    <cfRule type="expression" dxfId="11" priority="1">
      <formula>N6="NORMAL / AGUARDAR"</formula>
    </cfRule>
    <cfRule type="expression" dxfId="10" priority="2">
      <formula>N6="VIGIA"</formula>
    </cfRule>
    <cfRule type="expression" dxfId="9" priority="3">
      <formula>N6="INVESTIGAR"</formula>
    </cfRule>
    <cfRule type="expression" dxfId="8" priority="4">
      <formula>N6="PROBLEMA OPERACIONAL"</formula>
    </cfRule>
    <cfRule type="expression" dxfId="7" priority="5">
      <formula>N6="EMERGÊNCIA"</formula>
    </cfRule>
    <cfRule type="expression" dxfId="6" priority="6">
      <formula>N6="DADO INSUFICIENTE"</formula>
    </cfRule>
  </conditionalFormatting>
  <dataValidations count="1">
    <dataValidation type="list" sqref="N6:N60">
      <formula1>"NORMAL / AGUARDAR,VIGIA,INVESTIGAR,PROBLEMA OPERACIONAL,EMERGÊNCIA,DADO INSUFICIENTE"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Controle_Semanal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2026-10-19T15:45:21Z</dcterms:modified>
</cp:coreProperties>
</file>