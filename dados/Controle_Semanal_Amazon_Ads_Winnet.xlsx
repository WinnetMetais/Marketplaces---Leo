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55" tabRatio="600" firstSheet="0" activeTab="0" autoFilterDateGrouping="1"/>
  </bookViews>
  <sheets>
    <sheet name="Controle_Semanal" sheetId="1" state="visible" r:id="rId1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%"/>
  </numFmts>
  <fonts count="11">
    <font>
      <name val="Carlito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10"/>
    </font>
    <font>
      <name val="Carlito"/>
      <b val="1"/>
      <color rgb="FFFFFFFF"/>
      <sz val="10"/>
    </font>
    <font>
      <name val="Carlito"/>
      <i val="1"/>
      <color rgb="FF475569"/>
      <sz val="9"/>
    </font>
    <font>
      <name val="Carlito"/>
      <b val="1"/>
      <color rgb="FF475569"/>
      <sz val="9"/>
    </font>
    <font>
      <name val="Arial"/>
      <family val="2"/>
      <sz val="12"/>
    </font>
    <font>
      <name val="Arial"/>
      <family val="2"/>
      <color rgb="FF0F172A"/>
      <sz val="12"/>
    </font>
    <font>
      <name val="Arial"/>
      <family val="2"/>
      <color theme="1"/>
      <sz val="12"/>
    </font>
    <font>
      <name val="Arial"/>
      <family val="2"/>
      <sz val="12"/>
      <u val="single"/>
    </font>
  </fonts>
  <fills count="9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7FBFF"/>
      </patternFill>
    </fill>
    <fill>
      <patternFill patternType="solid">
        <fgColor rgb="FFE8F4FD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8"/>
  </cellStyleXfs>
  <cellXfs count="59">
    <xf numFmtId="0" fontId="0" fillId="0" borderId="0" pivotButton="0" quotePrefix="0" xfId="0"/>
    <xf numFmtId="0" fontId="0" fillId="5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0" fillId="5" borderId="5" applyAlignment="1" pivotButton="0" quotePrefix="0" xfId="0">
      <alignment vertical="center" wrapText="1"/>
    </xf>
    <xf numFmtId="0" fontId="0" fillId="5" borderId="7" applyAlignment="1" pivotButton="0" quotePrefix="0" xfId="0">
      <alignment vertical="center" wrapText="1"/>
    </xf>
    <xf numFmtId="0" fontId="0" fillId="5" borderId="8" applyAlignment="1" pivotButton="0" quotePrefix="0" xfId="0">
      <alignment vertical="center" wrapText="1"/>
    </xf>
    <xf numFmtId="3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 wrapText="1"/>
    </xf>
    <xf numFmtId="3" fontId="0" fillId="5" borderId="7" applyAlignment="1" pivotButton="0" quotePrefix="0" xfId="0">
      <alignment horizontal="center" vertical="center"/>
    </xf>
    <xf numFmtId="1" fontId="0" fillId="5" borderId="7" applyAlignment="1" pivotButton="0" quotePrefix="0" xfId="0">
      <alignment horizontal="center" vertical="center"/>
    </xf>
    <xf numFmtId="2" fontId="0" fillId="0" borderId="7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165" fontId="0" fillId="0" borderId="7" applyAlignment="1" pivotButton="0" quotePrefix="0" xfId="0">
      <alignment horizontal="center"/>
    </xf>
    <xf numFmtId="0" fontId="0" fillId="5" borderId="7" applyAlignment="1" pivotButton="0" quotePrefix="0" xfId="0">
      <alignment horizontal="center" vertical="center" wrapText="1"/>
    </xf>
    <xf numFmtId="14" fontId="0" fillId="5" borderId="4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14" fontId="0" fillId="5" borderId="6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2" fontId="0" fillId="5" borderId="0" applyAlignment="1" pivotButton="0" quotePrefix="0" xfId="0">
      <alignment horizontal="center" vertical="center"/>
    </xf>
    <xf numFmtId="2" fontId="0" fillId="5" borderId="7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5" fillId="7" borderId="0" applyAlignment="1" pivotButton="0" quotePrefix="0" xfId="0">
      <alignment wrapText="1"/>
    </xf>
    <xf numFmtId="0" fontId="6" fillId="8" borderId="0" applyAlignment="1" pivotButton="0" quotePrefix="0" xfId="0">
      <alignment horizontal="left" vertical="center"/>
    </xf>
    <xf numFmtId="14" fontId="7" fillId="5" borderId="4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3" fontId="7" fillId="5" borderId="0" applyAlignment="1" pivotButton="0" quotePrefix="0" xfId="0">
      <alignment horizontal="center" vertical="center"/>
    </xf>
    <xf numFmtId="2" fontId="7" fillId="5" borderId="0" applyAlignment="1" pivotButton="0" quotePrefix="0" xfId="0">
      <alignment horizontal="center" vertical="center"/>
    </xf>
    <xf numFmtId="1" fontId="7" fillId="5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14" fontId="8" fillId="6" borderId="4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3" fontId="8" fillId="6" borderId="0" applyAlignment="1" pivotButton="0" quotePrefix="0" xfId="0">
      <alignment horizontal="center" vertical="center"/>
    </xf>
    <xf numFmtId="2" fontId="8" fillId="6" borderId="0" applyAlignment="1" pivotButton="0" quotePrefix="0" xfId="0">
      <alignment horizontal="center" vertical="center"/>
    </xf>
    <xf numFmtId="1" fontId="8" fillId="6" borderId="0" applyAlignment="1" pivotButton="0" quotePrefix="0" xfId="0">
      <alignment horizontal="center" vertical="center"/>
    </xf>
    <xf numFmtId="164" fontId="8" fillId="6" borderId="0" applyAlignment="1" pivotButton="0" quotePrefix="0" xfId="0">
      <alignment horizontal="center" vertical="center"/>
    </xf>
    <xf numFmtId="165" fontId="8" fillId="6" borderId="0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2" fillId="3" borderId="8" applyAlignment="1" pivotButton="0" quotePrefix="0" xfId="0">
      <alignment horizontal="left" vertical="center" wrapText="1"/>
    </xf>
    <xf numFmtId="0" fontId="3" fillId="4" borderId="8" applyAlignment="1" pivotButton="0" quotePrefix="0" xfId="0">
      <alignment horizontal="left" vertical="center" wrapText="1"/>
    </xf>
    <xf numFmtId="0" fontId="6" fillId="8" borderId="8" applyAlignment="1" pivotButton="0" quotePrefix="0" xfId="0">
      <alignment horizontal="left" vertical="center"/>
    </xf>
    <xf numFmtId="0" fontId="7" fillId="5" borderId="8" applyAlignment="1" pivotButton="0" quotePrefix="0" xfId="0">
      <alignment horizontal="center" vertical="center"/>
    </xf>
    <xf numFmtId="0" fontId="5" fillId="7" borderId="8" applyAlignment="1" pivotButton="0" quotePrefix="0" xfId="0">
      <alignment wrapText="1"/>
    </xf>
  </cellXfs>
  <cellStyles count="1">
    <cellStyle name="Normal" xfId="0" builtinId="0"/>
  </cellStyles>
  <dxfs count="12">
    <dxf>
      <font>
        <color rgb="FF374151"/>
      </font>
      <fill>
        <patternFill>
          <bgColor rgb="FFE5E7EB"/>
        </patternFill>
      </fill>
    </dxf>
    <dxf>
      <font>
        <b val="1"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374151"/>
      </font>
      <fill>
        <patternFill>
          <bgColor rgb="FFE5E7EB"/>
        </patternFill>
      </fill>
    </dxf>
    <dxf>
      <font>
        <b val="1"/>
        <color rgb="FF991B1B"/>
      </font>
      <fill>
        <patternFill>
          <bgColor rgb="FFFECACA"/>
        </patternFill>
      </fill>
    </dxf>
    <dxf>
      <font>
        <color rgb="FF9A3412"/>
      </font>
      <fill>
        <patternFill>
          <bgColor rgb="FFFED7AA"/>
        </patternFill>
      </fill>
    </dxf>
    <dxf>
      <font>
        <color rgb="FF1E40AF"/>
      </font>
      <fill>
        <patternFill>
          <bgColor rgb="FFDBEAFE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pt-BR"/>
              <a:t>Tendência semanal de ACOS</a:t>
            </a:r>
          </a:p>
        </rich>
      </tx>
      <layout/>
      <overlay val="1"/>
    </title>
    <plotArea>
      <layout/>
      <lineChart>
        <grouping val="standar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Lit>
              <ptCount val="1"/>
              <pt idx="0">
                <v>Item 1</v>
              </pt>
            </strLit>
          </cat>
          <val>
            <numLit>
              <formatCode>General</formatCode>
              <ptCount val="1"/>
              <pt idx="0">
                <v>0</v>
              </pt>
            </numLit>
          </val>
          <smooth val="1"/>
        </ser>
        <ser>
          <idx val="1"/>
          <order val="1"/>
          <tx>
            <v>ACOS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Controle_Semanal!$A$6:$A$60</f>
              <numCache>
                <formatCode>m/d/yyyy</formatCode>
                <ptCount val="55"/>
                <pt idx="0">
                  <v>46225</v>
                </pt>
                <pt idx="1">
                  <v>46231</v>
                </pt>
                <pt idx="2">
                  <v>46244</v>
                </pt>
                <pt idx="3">
                  <v>46251</v>
                </pt>
                <pt idx="4">
                  <v>46258</v>
                </pt>
                <pt idx="5">
                  <v>46265</v>
                </pt>
                <pt idx="6">
                  <v>46279</v>
                </pt>
                <pt idx="7">
                  <v>46286</v>
                </pt>
                <pt idx="8">
                  <v>46293</v>
                </pt>
                <pt idx="9">
                  <v>46300</v>
                </pt>
                <pt idx="10">
                  <v>46307</v>
                </pt>
                <pt idx="11">
                  <v>46314</v>
                </pt>
              </numCache>
            </numRef>
          </cat>
          <val>
            <numRef>
              <f>Controle_Semanal!$J$6:$J$60</f>
              <numCache>
                <formatCode>0.0%</formatCode>
                <ptCount val="55"/>
                <pt idx="0">
                  <v>0.3467409740731766</v>
                </pt>
                <pt idx="1">
                  <v>0.1302013422818792</v>
                </pt>
                <pt idx="2">
                  <v>0.2580386255329822</v>
                </pt>
                <pt idx="3">
                  <v>0.4790067720090293</v>
                </pt>
                <pt idx="4">
                  <v>0.04226762434769214</v>
                </pt>
                <pt idx="5">
                  <v>0.4656402330281774</v>
                </pt>
                <pt idx="6">
                  <v>0.05811634557495485</v>
                </pt>
                <pt idx="7">
                  <v>0.174280450686175</v>
                </pt>
                <pt idx="8">
                  <v>0.09556991365822565</v>
                </pt>
                <pt idx="9">
                  <v>0.03090406420344523</v>
                </pt>
                <pt idx="10">
                  <v>0.0839217386718544</v>
                </pt>
                <pt idx="11">
                  <v>0.7622786759045419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501044112"/>
        <axId val="-1501039760"/>
      </lineChart>
      <catAx>
        <axId val="-1501044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-1501039760"/>
        <crosses val="autoZero"/>
        <auto val="1"/>
        <lblAlgn val="ctr"/>
        <lblOffset val="100"/>
        <noMultiLvlLbl val="0"/>
      </catAx>
      <valAx>
        <axId val="-1501039760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-1501044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17</col>
      <colOff>0</colOff>
      <row>4</row>
      <rowOff>0</rowOff>
    </from>
    <to>
      <col>26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troleSemanalAds" displayName="ControleSemanalAds" ref="A5:P60" headerRowCount="1" totalsRowShown="0">
  <tableColumns count="16">
    <tableColumn id="1" name="Data de referência"/>
    <tableColumn id="2" name="Período analisado"/>
    <tableColumn id="3" name="Impressões"/>
    <tableColumn id="4" name="Cliques"/>
    <tableColumn id="5" name="Custo Ads (R$)"/>
    <tableColumn id="6" name="Vendas atribuídas Ads (R$)"/>
    <tableColumn id="7" name="Pedidos atribuídos"/>
    <tableColumn id="8" name="Unidades atribuídas"/>
    <tableColumn id="9" name="ROAS"/>
    <tableColumn id="10" name="ACOS"/>
    <tableColumn id="11" name="Taxa de compra"/>
    <tableColumn id="12" name="CPC (R$)"/>
    <tableColumn id="13" name="CTR"/>
    <tableColumn id="14" name="Status semanal"/>
    <tableColumn id="15" name="Notas"/>
    <tableColumn id="16" name="Arquivo / 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tabSelected="1" workbookViewId="0">
      <selection activeCell="E19" sqref="E19"/>
    </sheetView>
  </sheetViews>
  <sheetFormatPr baseColWidth="8" defaultRowHeight="14.25"/>
  <cols>
    <col width="15" customWidth="1" min="1" max="1"/>
    <col width="22" customWidth="1" min="2" max="2"/>
    <col width="12" customWidth="1" min="3" max="3"/>
    <col width="10" customWidth="1" min="4" max="4"/>
    <col width="14" customWidth="1" min="5" max="5"/>
    <col width="21" customWidth="1" min="6" max="6"/>
    <col width="17" customWidth="1" min="7" max="7"/>
    <col width="18" customWidth="1" min="8" max="8"/>
    <col width="9" customWidth="1" min="9" max="10"/>
    <col width="14" customWidth="1" min="11" max="11"/>
    <col width="11" customWidth="1" min="12" max="12"/>
    <col width="10" customWidth="1" min="13" max="13"/>
    <col width="22" customWidth="1" min="14" max="14"/>
    <col width="38" customWidth="1" min="15" max="15"/>
    <col width="30" customWidth="1" min="16" max="16"/>
  </cols>
  <sheetData>
    <row r="1" ht="30" customHeight="1">
      <c r="A1" s="53" t="inlineStr">
        <is>
          <t>CONTROLE SEMANAL AMAZON ADS — WINNET METAIS</t>
        </is>
      </c>
    </row>
    <row r="2" ht="27.95" customHeight="1">
      <c r="A2" s="54" t="inlineStr">
        <is>
          <t>Uso: monitoramento operacional das segundas-feiras. Este arquivo registra o histórico; NÃO substitui a Skill, o Playbook nem os Parâmetros Vigentes.</t>
        </is>
      </c>
    </row>
    <row r="3" ht="27.95" customHeight="1">
      <c r="A3" s="55" t="inlineStr">
        <is>
          <t>Versão limpa da antiga Aba 8. Regras legadas (ex.: Meta ACOS 25%, Taxa 3%, Topo 30%) foram removidas para evitar conflito com o método atual.</t>
        </is>
      </c>
    </row>
    <row r="4" ht="21.95" customHeight="1">
      <c r="A4" s="56" t="inlineStr">
        <is>
          <t>Preencha A:H e N:P. As colunas I:M (ROAS, ACOS, Taxa de compra, CPC e CTR) calculam automaticamente.</t>
        </is>
      </c>
    </row>
    <row r="5" ht="33.95" customHeight="1">
      <c r="A5" s="2" t="inlineStr">
        <is>
          <t>Data de referência</t>
        </is>
      </c>
      <c r="B5" s="3" t="inlineStr">
        <is>
          <t>Período analisado</t>
        </is>
      </c>
      <c r="C5" s="3" t="inlineStr">
        <is>
          <t>Impressões</t>
        </is>
      </c>
      <c r="D5" s="3" t="inlineStr">
        <is>
          <t>Cliques</t>
        </is>
      </c>
      <c r="E5" s="3" t="inlineStr">
        <is>
          <t>Custo Ads (R$)</t>
        </is>
      </c>
      <c r="F5" s="3" t="inlineStr">
        <is>
          <t>Vendas atribuídas Ads (R$)</t>
        </is>
      </c>
      <c r="G5" s="3" t="inlineStr">
        <is>
          <t>Pedidos atribuídos</t>
        </is>
      </c>
      <c r="H5" s="3" t="inlineStr">
        <is>
          <t>Unidades atribuídas</t>
        </is>
      </c>
      <c r="I5" s="3" t="inlineStr">
        <is>
          <t>ROAS</t>
        </is>
      </c>
      <c r="J5" s="3" t="inlineStr">
        <is>
          <t>ACOS</t>
        </is>
      </c>
      <c r="K5" s="3" t="inlineStr">
        <is>
          <t>Taxa de compra</t>
        </is>
      </c>
      <c r="L5" s="3" t="inlineStr">
        <is>
          <t>CPC (R$)</t>
        </is>
      </c>
      <c r="M5" s="3" t="inlineStr">
        <is>
          <t>CTR</t>
        </is>
      </c>
      <c r="N5" s="3" t="inlineStr">
        <is>
          <t>Status semanal</t>
        </is>
      </c>
      <c r="O5" s="3" t="inlineStr">
        <is>
          <t>Notas</t>
        </is>
      </c>
      <c r="P5" s="4" t="inlineStr">
        <is>
          <t>Arquivo / fonte</t>
        </is>
      </c>
    </row>
    <row r="6" ht="15" customHeight="1">
      <c r="A6" s="31" t="n">
        <v>46225</v>
      </c>
      <c r="B6" s="32" t="n"/>
      <c r="C6" s="33" t="n">
        <v>32090</v>
      </c>
      <c r="D6" s="33" t="n">
        <v>140</v>
      </c>
      <c r="E6" s="34" t="n">
        <v>128.79</v>
      </c>
      <c r="F6" s="34" t="n">
        <v>371.43</v>
      </c>
      <c r="G6" s="35" t="n">
        <v>2</v>
      </c>
      <c r="H6" s="35" t="n"/>
      <c r="I6" s="36">
        <f>IF(E6=0,"",F6/E6)</f>
        <v/>
      </c>
      <c r="J6" s="37">
        <f>IF(F6=0,"",E6/F6)</f>
        <v/>
      </c>
      <c r="K6" s="37">
        <f>IF(D6=0,"",G6/D6)</f>
        <v/>
      </c>
      <c r="L6" s="36">
        <f>IF(D6=0,"",E6/D6)</f>
        <v/>
      </c>
      <c r="M6" s="38">
        <f>IF(C6=0,"",D6/C6)</f>
        <v/>
      </c>
      <c r="N6" s="32" t="n"/>
      <c r="O6" s="32" t="inlineStr">
        <is>
          <t>Migrado da antiga Aba 8.</t>
        </is>
      </c>
      <c r="P6" s="39" t="inlineStr">
        <is>
          <t>Plano de Implementação — Aba 8</t>
        </is>
      </c>
    </row>
    <row r="7" ht="15" customHeight="1">
      <c r="A7" s="31" t="n">
        <v>46231</v>
      </c>
      <c r="B7" s="32" t="n"/>
      <c r="C7" s="33" t="n">
        <v>20325</v>
      </c>
      <c r="D7" s="33" t="n">
        <v>110</v>
      </c>
      <c r="E7" s="34" t="n">
        <v>70.81</v>
      </c>
      <c r="F7" s="34" t="n">
        <v>543.85</v>
      </c>
      <c r="G7" s="35" t="n">
        <v>1</v>
      </c>
      <c r="H7" s="35" t="n"/>
      <c r="I7" s="36">
        <f>IF(E7=0,"",F7/E7)</f>
        <v/>
      </c>
      <c r="J7" s="37">
        <f>IF(F7=0,"",E7/F7)</f>
        <v/>
      </c>
      <c r="K7" s="37">
        <f>IF(D7=0,"",G7/D7)</f>
        <v/>
      </c>
      <c r="L7" s="36">
        <f>IF(D7=0,"",E7/D7)</f>
        <v/>
      </c>
      <c r="M7" s="38">
        <f>IF(C7=0,"",D7/C7)</f>
        <v/>
      </c>
      <c r="N7" s="32" t="n"/>
      <c r="O7" s="32" t="inlineStr">
        <is>
          <t>Migrado da antiga Aba 8.</t>
        </is>
      </c>
      <c r="P7" s="39" t="inlineStr">
        <is>
          <t>Plano de Implementação — Aba 8</t>
        </is>
      </c>
    </row>
    <row r="8" ht="15" customHeight="1">
      <c r="A8" s="31" t="n">
        <v>46244</v>
      </c>
      <c r="B8" s="32" t="n"/>
      <c r="C8" s="33" t="n">
        <v>30062</v>
      </c>
      <c r="D8" s="33" t="n">
        <v>145</v>
      </c>
      <c r="E8" s="34" t="n">
        <v>102.88</v>
      </c>
      <c r="F8" s="34" t="n">
        <v>398.7</v>
      </c>
      <c r="G8" s="35" t="n">
        <v>2</v>
      </c>
      <c r="H8" s="35" t="n"/>
      <c r="I8" s="36">
        <f>IF(E8=0,"",F8/E8)</f>
        <v/>
      </c>
      <c r="J8" s="37">
        <f>IF(F8=0,"",E8/F8)</f>
        <v/>
      </c>
      <c r="K8" s="37">
        <f>IF(D8=0,"",G8/D8)</f>
        <v/>
      </c>
      <c r="L8" s="36">
        <f>IF(D8=0,"",E8/D8)</f>
        <v/>
      </c>
      <c r="M8" s="38">
        <f>IF(C8=0,"",D8/C8)</f>
        <v/>
      </c>
      <c r="N8" s="32" t="n"/>
      <c r="O8" s="32" t="inlineStr">
        <is>
          <t>Migrado da antiga Aba 8.</t>
        </is>
      </c>
      <c r="P8" s="39" t="inlineStr">
        <is>
          <t>Plano de Implementação — Aba 8</t>
        </is>
      </c>
    </row>
    <row r="9" ht="15" customHeight="1">
      <c r="A9" s="40" t="n">
        <v>46251</v>
      </c>
      <c r="B9" s="41" t="inlineStr">
        <is>
          <t>10/08/2026 a 16/08/2026</t>
        </is>
      </c>
      <c r="C9" s="42" t="n">
        <v>16807</v>
      </c>
      <c r="D9" s="42" t="n">
        <v>102</v>
      </c>
      <c r="E9" s="43" t="n">
        <v>63.66</v>
      </c>
      <c r="F9" s="43" t="n">
        <v>132.9</v>
      </c>
      <c r="G9" s="44" t="n">
        <v>1</v>
      </c>
      <c r="H9" s="44" t="n"/>
      <c r="I9" s="43">
        <f>IF(E9=0,"",F9/E9)</f>
        <v/>
      </c>
      <c r="J9" s="45">
        <f>IF(F9=0,"",E9/F9)</f>
        <v/>
      </c>
      <c r="K9" s="45">
        <f>IF(D9=0,"",G9/D9)</f>
        <v/>
      </c>
      <c r="L9" s="43">
        <f>IF(D9=0,"",E9/D9)</f>
        <v/>
      </c>
      <c r="M9" s="46">
        <f>IF(C9=0,"",D9/C9)</f>
        <v/>
      </c>
      <c r="N9" s="41" t="n"/>
      <c r="O9" s="41" t="inlineStr">
        <is>
          <t>Monitoramento semanal — preencher com o export da semana.</t>
        </is>
      </c>
      <c r="P9" s="47" t="n"/>
    </row>
    <row r="10" ht="15" customHeight="1">
      <c r="A10" s="31" t="n">
        <v>46258</v>
      </c>
      <c r="B10" s="32" t="inlineStr">
        <is>
          <t>17/08/2026–23/08/2026</t>
        </is>
      </c>
      <c r="C10" s="33" t="n">
        <v>36117</v>
      </c>
      <c r="D10" s="33" t="n">
        <v>127</v>
      </c>
      <c r="E10" s="34" t="n">
        <v>87.8</v>
      </c>
      <c r="F10" s="34" t="n">
        <v>2077.24</v>
      </c>
      <c r="G10" s="35" t="n">
        <v>2</v>
      </c>
      <c r="H10" s="35" t="n"/>
      <c r="I10" s="36">
        <f>IF(E10=0,"",F10/E10)</f>
        <v/>
      </c>
      <c r="J10" s="37">
        <f>IF(F10=0,"",E10/F10)</f>
        <v/>
      </c>
      <c r="K10" s="37">
        <f>IF(D10=0,"",G10/D10)</f>
        <v/>
      </c>
      <c r="L10" s="36">
        <f>IF(D10=0,"",E10/D10)</f>
        <v/>
      </c>
      <c r="M10" s="38">
        <f>IF(C10=0,"",D10/C10)</f>
        <v/>
      </c>
      <c r="N10" s="32" t="inlineStr">
        <is>
          <t>INVESTIGAR</t>
        </is>
      </c>
      <c r="O10" s="32" t="inlineStr">
        <is>
          <t>Semana forte em atribuição (2 vendas ticket alto via Geral, ACOS 2,5% na Geral). CTR agregado deprimido por anomalia de entrega na SP-PP automática (18,7k impr, CTR 0,07%) → investigar termos na O4. Sem SP-PP, CTR da conta = 0,66% (estável). Bituqueiras: requalificação CONFIRMADA em 25/08 (4 anúncios Em inserção, incl. SP-01 e SP-T). PI SP-01: suspensão MANTIDA em 2ª análise da equipe interna (25/08) — contestação encerrada, permanece pausada; não conta como falha de desempenho.</t>
        </is>
      </c>
      <c r="P10" s="39" t="n"/>
    </row>
    <row r="11" ht="15" customHeight="1">
      <c r="A11" s="31" t="n">
        <v>46265</v>
      </c>
      <c r="B11" s="48" t="inlineStr">
        <is>
          <t>24/08/2026 a 31/08/2026</t>
        </is>
      </c>
      <c r="C11" s="49" t="n">
        <v>47770</v>
      </c>
      <c r="D11" s="48" t="n">
        <v>197</v>
      </c>
      <c r="E11" s="48" t="n">
        <v>156.66</v>
      </c>
      <c r="F11" s="48" t="n">
        <v>336.44</v>
      </c>
      <c r="G11" s="48" t="n">
        <v>2</v>
      </c>
      <c r="H11" s="35" t="n">
        <v>2</v>
      </c>
      <c r="I11" s="36">
        <f>IF(E11=0,"",F11/E11)</f>
        <v/>
      </c>
      <c r="J11" s="37">
        <f>IF(F11=0,"",E11/F11)</f>
        <v/>
      </c>
      <c r="K11" s="37">
        <f>IF(D11=0,"",G11/D11)</f>
        <v/>
      </c>
      <c r="L11" s="36">
        <f>IF(D11=0,"",E11/D11)</f>
        <v/>
      </c>
      <c r="M11" s="38">
        <f>IF(C11=0,"",D11/C11)</f>
        <v/>
      </c>
      <c r="N11" s="32" t="inlineStr">
        <is>
          <t>VIGIA</t>
        </is>
      </c>
      <c r="O11" s="48" t="inlineStr">
        <is>
          <t>Venda PXP 29/08 sem atribuição até 31/08. Auto L1618-o115/07 encontrada ativa (O4-006 não vigorou); pausada em 31/08. Atribuição de 29–31/08 ainda imatura."Geral DBA: ACOS de janela 83,9% (1 venda) → VIGIA; veredito do lance 0,48 na O5."</t>
        </is>
      </c>
      <c r="P11" s="48" t="inlineStr">
        <is>
          <t>relatorios/amazon/monitoramento-31-08 + ciclos/Monitoramento-31-08.md</t>
        </is>
      </c>
    </row>
    <row r="12" ht="15" customHeight="1">
      <c r="A12" s="50" t="n">
        <v>46279</v>
      </c>
      <c r="B12" s="48" t="inlineStr">
        <is>
          <t>07/09/2026 a 14/09/2026</t>
        </is>
      </c>
      <c r="C12" s="33" t="n">
        <v>22192</v>
      </c>
      <c r="D12" s="48" t="n">
        <v>123</v>
      </c>
      <c r="E12" s="48" t="n">
        <v>92.67</v>
      </c>
      <c r="F12" s="48" t="n">
        <v>1594.56</v>
      </c>
      <c r="G12" s="48" t="n">
        <v>5</v>
      </c>
      <c r="H12" s="48" t="n">
        <v>8</v>
      </c>
      <c r="I12" s="36">
        <f>IF(E12=0,"",F12/E12)</f>
        <v/>
      </c>
      <c r="J12" s="37">
        <f>IF(F12=0,"",E12/F12)</f>
        <v/>
      </c>
      <c r="K12" s="37">
        <f>IF(D12=0,"",G12/D12)</f>
        <v/>
      </c>
      <c r="L12" s="36">
        <f>IF(D12=0,"",E12/D12)</f>
        <v/>
      </c>
      <c r="M12" s="38">
        <f>IF(C12=0,"",D12/C12)</f>
        <v/>
      </c>
      <c r="N12" s="32" t="inlineStr">
        <is>
          <t>VIGIA</t>
        </is>
      </c>
      <c r="O12" s="51" t="inlineStr">
        <is>
          <t>9.9 lido: Melhor Oferta 3 de 11 (R$ 1.196,21 / 7 un / 174 visualizações);
Relâmpago 0 de 5 (19 visualizações) — falha de EXIBIÇÃO, não de conversão.
Atribuição ao PREÇO DA OFERTA confirmada (5 pedidos, 3 SKUs, 4 campanhas).
ACOS de 5,81% está inflado pela concentração de vendas com oferta — não
recalibrar régua por ele. Participação de Ads de 86% é janela curta (6
pedidos), não tendência; na Era da O5 era 38%. QUEDA DE IMPRESSÕES
ESPERADA: 22.192 contra 47.770 em 24–31/08. É o efeito da O5 (4 campanhas
pausadas em 09/09, no meio da janela), não colapso de entrega. CTR agregado
SUBIU para 0,55% (era 0,41%) — entrega mais limpa, que era o objetivo.
FONTES MISTAS: impressões e vendas do console (set 7–set 14); cliques e
custo do export do Gerenciador, que veio com impressões zeradas. O console
marca 122 cliques e o export 123 — diferença de 1, provável clique
invalidado retroativamente. O custo não é exposto no painel do console.
⚠️ L2025-T: 52 sessões (maior tráfego da semana), Melhor Oferta ativa, ZERO
venda — era o motor de vendas (47 sessões / 4 un na Era). Vigiar na O6.
Estado da O5 conferido: 12 ativas / 68 pausadas, nenhum zumbi. LACUNA DE
SÉRIE: não há linha para 01–06/09 (o monitoramento de 07/09 foi eliminado
pelo feriado) — a série não é contínua entre 31/08 e 14/09.</t>
        </is>
      </c>
      <c r="P12" s="48" t="inlineStr">
        <is>
          <t>console Amazon Ads (set 7–set 14) + relatorios/amazon/monitoramento-14-09 + ciclos/Monitoramento-14-09.md</t>
        </is>
      </c>
    </row>
    <row r="13" ht="15" customHeight="1">
      <c r="A13" s="31" t="n">
        <v>46286</v>
      </c>
      <c r="B13" s="32" t="inlineStr">
        <is>
          <t>14/09/2026 a 21/09/2026</t>
        </is>
      </c>
      <c r="C13" s="33" t="n">
        <v>43599</v>
      </c>
      <c r="D13" s="33" t="n">
        <v>146</v>
      </c>
      <c r="E13" s="34" t="n">
        <v>130.55</v>
      </c>
      <c r="F13" s="34" t="n">
        <v>749.08</v>
      </c>
      <c r="G13" s="35" t="n">
        <v>2</v>
      </c>
      <c r="H13" s="35" t="n">
        <v>2</v>
      </c>
      <c r="I13" s="36">
        <f>IF(E13=0,"",F13/E13)</f>
        <v/>
      </c>
      <c r="J13" s="37">
        <f>IF(F13=0,"",E13/F13)</f>
        <v/>
      </c>
      <c r="K13" s="37">
        <f>IF(D13=0,"",G13/D13)</f>
        <v/>
      </c>
      <c r="L13" s="36">
        <f>IF(D13=0,"",E13/D13)</f>
        <v/>
      </c>
      <c r="M13" s="38">
        <f>IF(C13=0,"",D13/C13)</f>
        <v/>
      </c>
      <c r="N13" s="32" t="inlineStr">
        <is>
          <t>VIGIA</t>
        </is>
      </c>
      <c r="O13" s="32" t="inlineStr">
        <is>
          <t>SEM DIAGNÓSTICO — regra da véspera (MEMORIA 09/09): a O6 de 22/09 relê a Era 09–21/09 inteira. Esta linha é só registro. Primeira semana LIMPA pós-O5 (sem oferta): ACOS 17,4% com 2 vendas — P3070 R$ 616,18 (PI P3070, 15/09) e L2025-T R$ 132,90 (Geral, 15/09); bijeção console × Mestra fecha ao centav…</t>
        </is>
      </c>
      <c r="P13" s="39" t="inlineStr">
        <is>
          <t>console Amazon Ads (set 14–set 21) + relatorios/amazon/monitoramento-21-09</t>
        </is>
      </c>
    </row>
    <row r="14" ht="15" customHeight="1">
      <c r="A14" s="31" t="n">
        <v>46293</v>
      </c>
      <c r="B14" s="32" t="inlineStr">
        <is>
          <t>22/09/2026 a 28/09/2026</t>
        </is>
      </c>
      <c r="C14" s="33" t="n">
        <v>19379</v>
      </c>
      <c r="D14" s="33" t="n">
        <v>107</v>
      </c>
      <c r="E14" s="34" t="n">
        <v>65.97</v>
      </c>
      <c r="F14" s="34" t="n">
        <v>690.28</v>
      </c>
      <c r="G14" s="35" t="n">
        <v>2</v>
      </c>
      <c r="H14" s="35" t="n">
        <v>4</v>
      </c>
      <c r="I14" s="36">
        <f>IF(E14=0,"",F14/E14)</f>
        <v/>
      </c>
      <c r="J14" s="37">
        <f>IF(F14=0,"",E14/F14)</f>
        <v/>
      </c>
      <c r="K14" s="37">
        <f>IF(D14=0,"",G14/D14)</f>
        <v/>
      </c>
      <c r="L14" s="36">
        <f>IF(D14=0,"",E14/D14)</f>
        <v/>
      </c>
      <c r="M14" s="38">
        <f>IF(C14=0,"",D14/C14)</f>
        <v/>
      </c>
      <c r="N14" s="32" t="inlineStr">
        <is>
          <t>VIGIA</t>
        </is>
      </c>
      <c r="O14" s="32" t="inlineStr">
        <is>
          <t>Primeira semana pós-O6 (10 ativas; SP-PP e EGC pausadas; loose da Geral a 0,45). ACOS 9,6% — 2 vendas, ambas na Geral: 3 un PXM R$ 580,08 (24/09, ES Capital) + 1 un L1618-T R$ 110,20, valorizadas A PREÇO COM DESCONTO — regra de atribuição do desconto no preço FIXADA (igual à Melhor Oferta; a promoçã…</t>
        </is>
      </c>
      <c r="P14" s="39" t="inlineStr">
        <is>
          <t>console Amazon Ads (set 22–set 28) + relatorios/amazon/monitoramento-28-09</t>
        </is>
      </c>
    </row>
    <row r="15" ht="15" customHeight="1">
      <c r="A15" s="31" t="n">
        <v>46300</v>
      </c>
      <c r="B15" s="32" t="inlineStr">
        <is>
          <t>29/09/2026 a 05/10/2026</t>
        </is>
      </c>
      <c r="C15" s="33" t="n">
        <v>39236</v>
      </c>
      <c r="D15" s="33" t="n">
        <v>125</v>
      </c>
      <c r="E15" s="34" t="n">
        <v>110.44</v>
      </c>
      <c r="F15" s="34" t="n">
        <v>3573.64</v>
      </c>
      <c r="G15" s="35" t="n">
        <v>6</v>
      </c>
      <c r="H15" s="35" t="n">
        <v>9</v>
      </c>
      <c r="I15" s="36">
        <f>IF(E15=0,"",F15/E15)</f>
        <v/>
      </c>
      <c r="J15" s="37">
        <f>IF(F15=0,"",E15/F15)</f>
        <v/>
      </c>
      <c r="K15" s="37">
        <f>IF(D15=0,"",G15/D15)</f>
        <v/>
      </c>
      <c r="L15" s="36">
        <f>IF(D15=0,"",E15/D15)</f>
        <v/>
      </c>
      <c r="M15" s="38">
        <f>IF(C15=0,"",D15/C15)</f>
        <v/>
      </c>
      <c r="N15" s="32" t="inlineStr">
        <is>
          <t>VIGIA</t>
        </is>
      </c>
      <c r="O15" s="32" t="inlineStr">
        <is>
          <t>Semana de preço limpo + 1º dia do Prime Day. 6 compras/9 un: Geral 4 (P4080 1ª venda, P3060 ×2, L1618-B, L1623-T), PI P3070 1 (alvo B0CTMZHJFJ), PI PXM 1 (3 un). ACOS 3,1% — n pequeno, não é base de escala. Prime Day às 15h de 05/10: Melhor Oferta PXP "Apresenta problemas" (preço promocional ≠ preço…</t>
        </is>
      </c>
      <c r="P15" s="39" t="inlineStr">
        <is>
          <t>relatorios/amazon/monitoramento-05-10/ (export, BR 29/09–04/10, prints) + ciclos/Monitoramento-05-10.md</t>
        </is>
      </c>
    </row>
    <row r="16" ht="15" customHeight="1">
      <c r="A16" s="31" t="n">
        <v>46307</v>
      </c>
      <c r="B16" s="52" t="inlineStr">
        <is>
          <t>06/10/2026 a 12/10/2026</t>
        </is>
      </c>
      <c r="C16" s="33" t="n">
        <v>39389</v>
      </c>
      <c r="D16" s="33" t="n">
        <v>189</v>
      </c>
      <c r="E16" s="34" t="n">
        <v>143.22</v>
      </c>
      <c r="F16" s="34" t="n">
        <v>1706.59</v>
      </c>
      <c r="G16" s="35" t="n">
        <v>7</v>
      </c>
      <c r="H16" s="35" t="n">
        <v>12</v>
      </c>
      <c r="I16" s="36">
        <f>IF(E16=0,"",F16/E16)</f>
        <v/>
      </c>
      <c r="J16" s="37">
        <f>IF(F16=0,"",E16/F16)</f>
        <v/>
      </c>
      <c r="K16" s="37">
        <f>IF(D16=0,"",G16/D16)</f>
        <v/>
      </c>
      <c r="L16" s="36">
        <f>IF(D16=0,"",E16/D16)</f>
        <v/>
      </c>
      <c r="M16" s="38">
        <f>IF(C16=0,"",D16/C16)</f>
        <v/>
      </c>
      <c r="N16" s="32" t="inlineStr">
        <is>
          <t>VIGIA</t>
        </is>
      </c>
      <c r="O16" s="57" t="inlineStr">
        <is>
          <t>Semana do Prime Day. 7 compras/12 un, todas na Geral e fora das promoções: L1618-T, L2025-T ×3 (2 pedidos), L2460-CZ e L1623 (1ªs vendas), L2025-A ×5 (14,4%), L1623-T. PI P3070 31 cli/0 com Melhor Oferta no ar. Zero vendas a preço promocional nos 14 SKUs. Sem ação; O7 13/10.</t>
        </is>
      </c>
      <c r="P16" s="57" t="inlineStr">
        <is>
          <t>relatorios/amazon/monitoramento-12-10/ (export 06–12/10 + print do console) + ciclos/Monitoramento-12-10.md</t>
        </is>
      </c>
    </row>
    <row r="17" ht="15" customHeight="1">
      <c r="A17" s="31" t="n">
        <v>46314</v>
      </c>
      <c r="B17" s="32" t="inlineStr">
        <is>
          <t>13/10/2026 a 19/10/2026</t>
        </is>
      </c>
      <c r="C17" s="33" t="n">
        <v>25000</v>
      </c>
      <c r="D17" s="33" t="n">
        <v>125</v>
      </c>
      <c r="E17" s="34" t="n">
        <v>99.02</v>
      </c>
      <c r="F17" s="34" t="n">
        <v>129.9</v>
      </c>
      <c r="G17" s="35" t="n">
        <v>1</v>
      </c>
      <c r="H17" s="35" t="n">
        <v>1</v>
      </c>
      <c r="I17" s="36">
        <f>IF(E17=0,"",F17/E17)</f>
        <v/>
      </c>
      <c r="J17" s="37">
        <f>IF(F17=0,"",E17/F17)</f>
        <v/>
      </c>
      <c r="K17" s="37">
        <f>IF(D17=0,"",G17/D17)</f>
        <v/>
      </c>
      <c r="L17" s="36">
        <f>IF(D17=0,"",E17/D17)</f>
        <v/>
      </c>
      <c r="M17" s="38">
        <f>IF(C17=0,"",D17/C17)</f>
        <v/>
      </c>
      <c r="N17" s="32" t="inlineStr">
        <is>
          <t>VIGIA</t>
        </is>
      </c>
      <c r="O17" s="32" t="inlineStr">
        <is>
          <t>1ª semana pós-O7 (lances +20%). Entrega −34% e conversão da Geral 0,9% (1 venda em 106 cli); catálogo vendeu só 3 pedidos (R$ 862) — queda de demanda. Sem ação; checkpoint 22/10: Geral ≥150 cli e ≤1 compra → reverter close/substitutes. O8 27/10.</t>
        </is>
      </c>
      <c r="P17" s="39" t="inlineStr">
        <is>
          <t>relatorios/amazon/monitoramento-19-10/ (export 13–19/10 + print) + ciclos/Monitoramento-19-10.md</t>
        </is>
      </c>
    </row>
    <row r="18">
      <c r="A18" s="20" t="n"/>
      <c r="B18" s="21" t="n"/>
      <c r="C18" s="8" t="n"/>
      <c r="D18" s="8" t="n"/>
      <c r="E18" s="24" t="n"/>
      <c r="F18" s="24" t="n"/>
      <c r="G18" s="9" t="n"/>
      <c r="H18" s="9" t="n"/>
      <c r="I18" s="10">
        <f>IF(E18=0,"",F18/E18)</f>
        <v/>
      </c>
      <c r="J18" s="11">
        <f>IF(F18=0,"",E18/F18)</f>
        <v/>
      </c>
      <c r="K18" s="11">
        <f>IF(D18=0,"",G18/D18)</f>
        <v/>
      </c>
      <c r="L18" s="10">
        <f>IF(D18=0,"",E18/D18)</f>
        <v/>
      </c>
      <c r="M18" s="12">
        <f>IF(C18=0,"",D18/C18)</f>
        <v/>
      </c>
      <c r="N18" s="13" t="n"/>
      <c r="O18" s="1" t="n"/>
      <c r="P18" s="5" t="n"/>
    </row>
    <row r="19">
      <c r="A19" s="20" t="n"/>
      <c r="B19" s="21" t="n"/>
      <c r="C19" s="8" t="n"/>
      <c r="D19" s="8" t="n"/>
      <c r="E19" s="24" t="n"/>
      <c r="F19" s="24" t="n"/>
      <c r="G19" s="9" t="n"/>
      <c r="H19" s="9" t="n"/>
      <c r="I19" s="10">
        <f>IF(E19=0,"",F19/E19)</f>
        <v/>
      </c>
      <c r="J19" s="11">
        <f>IF(F19=0,"",E19/F19)</f>
        <v/>
      </c>
      <c r="K19" s="11">
        <f>IF(D19=0,"",G19/D19)</f>
        <v/>
      </c>
      <c r="L19" s="10">
        <f>IF(D19=0,"",E19/D19)</f>
        <v/>
      </c>
      <c r="M19" s="12">
        <f>IF(C19=0,"",D19/C19)</f>
        <v/>
      </c>
      <c r="N19" s="13" t="n"/>
      <c r="O19" s="1" t="n"/>
      <c r="P19" s="5" t="n"/>
    </row>
    <row r="20">
      <c r="A20" s="20" t="n"/>
      <c r="B20" s="21" t="n"/>
      <c r="C20" s="8" t="n"/>
      <c r="D20" s="8" t="n"/>
      <c r="E20" s="24" t="n"/>
      <c r="F20" s="24" t="n"/>
      <c r="G20" s="9" t="n"/>
      <c r="H20" s="9" t="n"/>
      <c r="I20" s="10">
        <f>IF(E20=0,"",F20/E20)</f>
        <v/>
      </c>
      <c r="J20" s="11">
        <f>IF(F20=0,"",E20/F20)</f>
        <v/>
      </c>
      <c r="K20" s="11">
        <f>IF(D20=0,"",G20/D20)</f>
        <v/>
      </c>
      <c r="L20" s="10">
        <f>IF(D20=0,"",E20/D20)</f>
        <v/>
      </c>
      <c r="M20" s="12">
        <f>IF(C20=0,"",D20/C20)</f>
        <v/>
      </c>
      <c r="N20" s="13" t="n"/>
      <c r="O20" s="1" t="n"/>
      <c r="P20" s="5" t="n"/>
    </row>
    <row r="21">
      <c r="A21" s="20" t="n"/>
      <c r="B21" s="21" t="n"/>
      <c r="C21" s="8" t="n"/>
      <c r="D21" s="8" t="n"/>
      <c r="E21" s="24" t="n"/>
      <c r="F21" s="24" t="n"/>
      <c r="G21" s="9" t="n"/>
      <c r="H21" s="9" t="n"/>
      <c r="I21" s="10">
        <f>IF(E21=0,"",F21/E21)</f>
        <v/>
      </c>
      <c r="J21" s="11">
        <f>IF(F21=0,"",E21/F21)</f>
        <v/>
      </c>
      <c r="K21" s="11">
        <f>IF(D21=0,"",G21/D21)</f>
        <v/>
      </c>
      <c r="L21" s="10">
        <f>IF(D21=0,"",E21/D21)</f>
        <v/>
      </c>
      <c r="M21" s="12">
        <f>IF(C21=0,"",D21/C21)</f>
        <v/>
      </c>
      <c r="N21" s="13" t="n"/>
      <c r="O21" s="1" t="n"/>
      <c r="P21" s="5" t="n"/>
    </row>
    <row r="22">
      <c r="A22" s="20" t="n"/>
      <c r="B22" s="21" t="n"/>
      <c r="C22" s="8" t="n"/>
      <c r="D22" s="8" t="n"/>
      <c r="E22" s="24" t="n"/>
      <c r="F22" s="24" t="n"/>
      <c r="G22" s="9" t="n"/>
      <c r="H22" s="9" t="n"/>
      <c r="I22" s="10">
        <f>IF(E22=0,"",F22/E22)</f>
        <v/>
      </c>
      <c r="J22" s="11">
        <f>IF(F22=0,"",E22/F22)</f>
        <v/>
      </c>
      <c r="K22" s="11">
        <f>IF(D22=0,"",G22/D22)</f>
        <v/>
      </c>
      <c r="L22" s="10">
        <f>IF(D22=0,"",E22/D22)</f>
        <v/>
      </c>
      <c r="M22" s="12">
        <f>IF(C22=0,"",D22/C22)</f>
        <v/>
      </c>
      <c r="N22" s="13" t="n"/>
      <c r="O22" s="1" t="n"/>
      <c r="P22" s="5" t="n"/>
    </row>
    <row r="23">
      <c r="A23" s="20" t="n"/>
      <c r="B23" s="21" t="n"/>
      <c r="C23" s="8" t="n"/>
      <c r="D23" s="8" t="n"/>
      <c r="E23" s="24" t="n"/>
      <c r="F23" s="24" t="n"/>
      <c r="G23" s="9" t="n"/>
      <c r="H23" s="9" t="n"/>
      <c r="I23" s="10">
        <f>IF(E23=0,"",F23/E23)</f>
        <v/>
      </c>
      <c r="J23" s="11">
        <f>IF(F23=0,"",E23/F23)</f>
        <v/>
      </c>
      <c r="K23" s="11">
        <f>IF(D23=0,"",G23/D23)</f>
        <v/>
      </c>
      <c r="L23" s="10">
        <f>IF(D23=0,"",E23/D23)</f>
        <v/>
      </c>
      <c r="M23" s="12">
        <f>IF(C23=0,"",D23/C23)</f>
        <v/>
      </c>
      <c r="N23" s="13" t="n"/>
      <c r="O23" s="1" t="n"/>
      <c r="P23" s="5" t="n"/>
    </row>
    <row r="24">
      <c r="A24" s="20" t="n"/>
      <c r="B24" s="21" t="n"/>
      <c r="C24" s="8" t="n"/>
      <c r="D24" s="8" t="n"/>
      <c r="E24" s="24" t="n"/>
      <c r="F24" s="24" t="n"/>
      <c r="G24" s="9" t="n"/>
      <c r="H24" s="9" t="n"/>
      <c r="I24" s="10">
        <f>IF(E24=0,"",F24/E24)</f>
        <v/>
      </c>
      <c r="J24" s="11">
        <f>IF(F24=0,"",E24/F24)</f>
        <v/>
      </c>
      <c r="K24" s="11">
        <f>IF(D24=0,"",G24/D24)</f>
        <v/>
      </c>
      <c r="L24" s="10">
        <f>IF(D24=0,"",E24/D24)</f>
        <v/>
      </c>
      <c r="M24" s="12">
        <f>IF(C24=0,"",D24/C24)</f>
        <v/>
      </c>
      <c r="N24" s="13" t="n"/>
      <c r="O24" s="1" t="n"/>
      <c r="P24" s="5" t="n"/>
    </row>
    <row r="25">
      <c r="A25" s="20" t="n"/>
      <c r="B25" s="21" t="n"/>
      <c r="C25" s="8" t="n"/>
      <c r="D25" s="8" t="n"/>
      <c r="E25" s="24" t="n"/>
      <c r="F25" s="24" t="n"/>
      <c r="G25" s="9" t="n"/>
      <c r="H25" s="9" t="n"/>
      <c r="I25" s="10">
        <f>IF(E25=0,"",F25/E25)</f>
        <v/>
      </c>
      <c r="J25" s="11">
        <f>IF(F25=0,"",E25/F25)</f>
        <v/>
      </c>
      <c r="K25" s="11">
        <f>IF(D25=0,"",G25/D25)</f>
        <v/>
      </c>
      <c r="L25" s="10">
        <f>IF(D25=0,"",E25/D25)</f>
        <v/>
      </c>
      <c r="M25" s="12">
        <f>IF(C25=0,"",D25/C25)</f>
        <v/>
      </c>
      <c r="N25" s="13" t="n"/>
      <c r="O25" s="1" t="n"/>
      <c r="P25" s="5" t="n"/>
    </row>
    <row r="26">
      <c r="A26" s="20" t="n"/>
      <c r="B26" s="21" t="n"/>
      <c r="C26" s="8" t="n"/>
      <c r="D26" s="8" t="n"/>
      <c r="E26" s="24" t="n"/>
      <c r="F26" s="24" t="n"/>
      <c r="G26" s="9" t="n"/>
      <c r="H26" s="9" t="n"/>
      <c r="I26" s="10">
        <f>IF(E26=0,"",F26/E26)</f>
        <v/>
      </c>
      <c r="J26" s="11">
        <f>IF(F26=0,"",E26/F26)</f>
        <v/>
      </c>
      <c r="K26" s="11">
        <f>IF(D26=0,"",G26/D26)</f>
        <v/>
      </c>
      <c r="L26" s="10">
        <f>IF(D26=0,"",E26/D26)</f>
        <v/>
      </c>
      <c r="M26" s="12">
        <f>IF(C26=0,"",D26/C26)</f>
        <v/>
      </c>
      <c r="N26" s="13" t="n"/>
      <c r="O26" s="1" t="n"/>
      <c r="P26" s="5" t="n"/>
    </row>
    <row r="27">
      <c r="A27" s="20" t="n"/>
      <c r="B27" s="21" t="n"/>
      <c r="C27" s="8" t="n"/>
      <c r="D27" s="8" t="n"/>
      <c r="E27" s="24" t="n"/>
      <c r="F27" s="24" t="n"/>
      <c r="G27" s="9" t="n"/>
      <c r="H27" s="9" t="n"/>
      <c r="I27" s="10">
        <f>IF(E27=0,"",F27/E27)</f>
        <v/>
      </c>
      <c r="J27" s="11">
        <f>IF(F27=0,"",E27/F27)</f>
        <v/>
      </c>
      <c r="K27" s="11">
        <f>IF(D27=0,"",G27/D27)</f>
        <v/>
      </c>
      <c r="L27" s="10">
        <f>IF(D27=0,"",E27/D27)</f>
        <v/>
      </c>
      <c r="M27" s="12">
        <f>IF(C27=0,"",D27/C27)</f>
        <v/>
      </c>
      <c r="N27" s="13" t="n"/>
      <c r="O27" s="1" t="n"/>
      <c r="P27" s="5" t="n"/>
    </row>
    <row r="28">
      <c r="A28" s="20" t="n"/>
      <c r="B28" s="21" t="n"/>
      <c r="C28" s="8" t="n"/>
      <c r="D28" s="8" t="n"/>
      <c r="E28" s="24" t="n"/>
      <c r="F28" s="24" t="n"/>
      <c r="G28" s="9" t="n"/>
      <c r="H28" s="9" t="n"/>
      <c r="I28" s="10">
        <f>IF(E28=0,"",F28/E28)</f>
        <v/>
      </c>
      <c r="J28" s="11">
        <f>IF(F28=0,"",E28/F28)</f>
        <v/>
      </c>
      <c r="K28" s="11">
        <f>IF(D28=0,"",G28/D28)</f>
        <v/>
      </c>
      <c r="L28" s="10">
        <f>IF(D28=0,"",E28/D28)</f>
        <v/>
      </c>
      <c r="M28" s="12">
        <f>IF(C28=0,"",D28/C28)</f>
        <v/>
      </c>
      <c r="N28" s="13" t="n"/>
      <c r="O28" s="1" t="n"/>
      <c r="P28" s="5" t="n"/>
    </row>
    <row r="29">
      <c r="A29" s="20" t="n"/>
      <c r="B29" s="21" t="n"/>
      <c r="C29" s="8" t="n"/>
      <c r="D29" s="8" t="n"/>
      <c r="E29" s="24" t="n"/>
      <c r="F29" s="24" t="n"/>
      <c r="G29" s="9" t="n"/>
      <c r="H29" s="9" t="n"/>
      <c r="I29" s="10">
        <f>IF(E29=0,"",F29/E29)</f>
        <v/>
      </c>
      <c r="J29" s="11">
        <f>IF(F29=0,"",E29/F29)</f>
        <v/>
      </c>
      <c r="K29" s="11">
        <f>IF(D29=0,"",G29/D29)</f>
        <v/>
      </c>
      <c r="L29" s="10">
        <f>IF(D29=0,"",E29/D29)</f>
        <v/>
      </c>
      <c r="M29" s="12">
        <f>IF(C29=0,"",D29/C29)</f>
        <v/>
      </c>
      <c r="N29" s="13" t="n"/>
      <c r="O29" s="1" t="n"/>
      <c r="P29" s="5" t="n"/>
    </row>
    <row r="30">
      <c r="A30" s="20" t="n"/>
      <c r="B30" s="21" t="n"/>
      <c r="C30" s="8" t="n"/>
      <c r="D30" s="8" t="n"/>
      <c r="E30" s="24" t="n"/>
      <c r="F30" s="24" t="n"/>
      <c r="G30" s="9" t="n"/>
      <c r="H30" s="9" t="n"/>
      <c r="I30" s="10">
        <f>IF(E30=0,"",F30/E30)</f>
        <v/>
      </c>
      <c r="J30" s="11">
        <f>IF(F30=0,"",E30/F30)</f>
        <v/>
      </c>
      <c r="K30" s="11">
        <f>IF(D30=0,"",G30/D30)</f>
        <v/>
      </c>
      <c r="L30" s="10">
        <f>IF(D30=0,"",E30/D30)</f>
        <v/>
      </c>
      <c r="M30" s="12">
        <f>IF(C30=0,"",D30/C30)</f>
        <v/>
      </c>
      <c r="N30" s="13" t="n"/>
      <c r="O30" s="1" t="n"/>
      <c r="P30" s="5" t="n"/>
    </row>
    <row r="31">
      <c r="A31" s="20" t="n"/>
      <c r="B31" s="21" t="n"/>
      <c r="C31" s="8" t="n"/>
      <c r="D31" s="8" t="n"/>
      <c r="E31" s="24" t="n"/>
      <c r="F31" s="24" t="n"/>
      <c r="G31" s="9" t="n"/>
      <c r="H31" s="9" t="n"/>
      <c r="I31" s="10">
        <f>IF(E31=0,"",F31/E31)</f>
        <v/>
      </c>
      <c r="J31" s="11">
        <f>IF(F31=0,"",E31/F31)</f>
        <v/>
      </c>
      <c r="K31" s="11">
        <f>IF(D31=0,"",G31/D31)</f>
        <v/>
      </c>
      <c r="L31" s="10">
        <f>IF(D31=0,"",E31/D31)</f>
        <v/>
      </c>
      <c r="M31" s="12">
        <f>IF(C31=0,"",D31/C31)</f>
        <v/>
      </c>
      <c r="N31" s="13" t="n"/>
      <c r="O31" s="1" t="n"/>
      <c r="P31" s="5" t="n"/>
    </row>
    <row r="32">
      <c r="A32" s="20" t="n"/>
      <c r="B32" s="21" t="n"/>
      <c r="C32" s="8" t="n"/>
      <c r="D32" s="8" t="n"/>
      <c r="E32" s="24" t="n"/>
      <c r="F32" s="24" t="n"/>
      <c r="G32" s="9" t="n"/>
      <c r="H32" s="9" t="n"/>
      <c r="I32" s="10">
        <f>IF(E32=0,"",F32/E32)</f>
        <v/>
      </c>
      <c r="J32" s="11">
        <f>IF(F32=0,"",E32/F32)</f>
        <v/>
      </c>
      <c r="K32" s="11">
        <f>IF(D32=0,"",G32/D32)</f>
        <v/>
      </c>
      <c r="L32" s="10">
        <f>IF(D32=0,"",E32/D32)</f>
        <v/>
      </c>
      <c r="M32" s="12">
        <f>IF(C32=0,"",D32/C32)</f>
        <v/>
      </c>
      <c r="N32" s="13" t="n"/>
      <c r="O32" s="1" t="n"/>
      <c r="P32" s="5" t="n"/>
    </row>
    <row r="33">
      <c r="A33" s="20" t="n"/>
      <c r="B33" s="21" t="n"/>
      <c r="C33" s="8" t="n"/>
      <c r="D33" s="8" t="n"/>
      <c r="E33" s="24" t="n"/>
      <c r="F33" s="24" t="n"/>
      <c r="G33" s="9" t="n"/>
      <c r="H33" s="9" t="n"/>
      <c r="I33" s="10">
        <f>IF(E33=0,"",F33/E33)</f>
        <v/>
      </c>
      <c r="J33" s="11">
        <f>IF(F33=0,"",E33/F33)</f>
        <v/>
      </c>
      <c r="K33" s="11">
        <f>IF(D33=0,"",G33/D33)</f>
        <v/>
      </c>
      <c r="L33" s="10">
        <f>IF(D33=0,"",E33/D33)</f>
        <v/>
      </c>
      <c r="M33" s="12">
        <f>IF(C33=0,"",D33/C33)</f>
        <v/>
      </c>
      <c r="N33" s="13" t="n"/>
      <c r="O33" s="1" t="n"/>
      <c r="P33" s="5" t="n"/>
    </row>
    <row r="34">
      <c r="A34" s="20" t="n"/>
      <c r="B34" s="21" t="n"/>
      <c r="C34" s="8" t="n"/>
      <c r="D34" s="8" t="n"/>
      <c r="E34" s="24" t="n"/>
      <c r="F34" s="24" t="n"/>
      <c r="G34" s="9" t="n"/>
      <c r="H34" s="9" t="n"/>
      <c r="I34" s="10">
        <f>IF(E34=0,"",F34/E34)</f>
        <v/>
      </c>
      <c r="J34" s="11">
        <f>IF(F34=0,"",E34/F34)</f>
        <v/>
      </c>
      <c r="K34" s="11">
        <f>IF(D34=0,"",G34/D34)</f>
        <v/>
      </c>
      <c r="L34" s="10">
        <f>IF(D34=0,"",E34/D34)</f>
        <v/>
      </c>
      <c r="M34" s="12">
        <f>IF(C34=0,"",D34/C34)</f>
        <v/>
      </c>
      <c r="N34" s="13" t="n"/>
      <c r="O34" s="1" t="n"/>
      <c r="P34" s="5" t="n"/>
    </row>
    <row r="35">
      <c r="A35" s="20" t="n"/>
      <c r="B35" s="21" t="n"/>
      <c r="C35" s="8" t="n"/>
      <c r="D35" s="8" t="n"/>
      <c r="E35" s="24" t="n"/>
      <c r="F35" s="24" t="n"/>
      <c r="G35" s="9" t="n"/>
      <c r="H35" s="9" t="n"/>
      <c r="I35" s="10">
        <f>IF(E35=0,"",F35/E35)</f>
        <v/>
      </c>
      <c r="J35" s="11">
        <f>IF(F35=0,"",E35/F35)</f>
        <v/>
      </c>
      <c r="K35" s="11">
        <f>IF(D35=0,"",G35/D35)</f>
        <v/>
      </c>
      <c r="L35" s="10">
        <f>IF(D35=0,"",E35/D35)</f>
        <v/>
      </c>
      <c r="M35" s="12">
        <f>IF(C35=0,"",D35/C35)</f>
        <v/>
      </c>
      <c r="N35" s="13" t="n"/>
      <c r="O35" s="1" t="n"/>
      <c r="P35" s="5" t="n"/>
    </row>
    <row r="36">
      <c r="A36" s="20" t="n"/>
      <c r="B36" s="21" t="n"/>
      <c r="C36" s="8" t="n"/>
      <c r="D36" s="8" t="n"/>
      <c r="E36" s="24" t="n"/>
      <c r="F36" s="24" t="n"/>
      <c r="G36" s="9" t="n"/>
      <c r="H36" s="9" t="n"/>
      <c r="I36" s="10">
        <f>IF(E36=0,"",F36/E36)</f>
        <v/>
      </c>
      <c r="J36" s="11">
        <f>IF(F36=0,"",E36/F36)</f>
        <v/>
      </c>
      <c r="K36" s="11">
        <f>IF(D36=0,"",G36/D36)</f>
        <v/>
      </c>
      <c r="L36" s="10">
        <f>IF(D36=0,"",E36/D36)</f>
        <v/>
      </c>
      <c r="M36" s="12">
        <f>IF(C36=0,"",D36/C36)</f>
        <v/>
      </c>
      <c r="N36" s="13" t="n"/>
      <c r="O36" s="1" t="n"/>
      <c r="P36" s="5" t="n"/>
    </row>
    <row r="37">
      <c r="A37" s="20" t="n"/>
      <c r="B37" s="21" t="n"/>
      <c r="C37" s="8" t="n"/>
      <c r="D37" s="8" t="n"/>
      <c r="E37" s="24" t="n"/>
      <c r="F37" s="24" t="n"/>
      <c r="G37" s="9" t="n"/>
      <c r="H37" s="9" t="n"/>
      <c r="I37" s="10">
        <f>IF(E37=0,"",F37/E37)</f>
        <v/>
      </c>
      <c r="J37" s="11">
        <f>IF(F37=0,"",E37/F37)</f>
        <v/>
      </c>
      <c r="K37" s="11">
        <f>IF(D37=0,"",G37/D37)</f>
        <v/>
      </c>
      <c r="L37" s="10">
        <f>IF(D37=0,"",E37/D37)</f>
        <v/>
      </c>
      <c r="M37" s="12">
        <f>IF(C37=0,"",D37/C37)</f>
        <v/>
      </c>
      <c r="N37" s="13" t="n"/>
      <c r="O37" s="1" t="n"/>
      <c r="P37" s="5" t="n"/>
    </row>
    <row r="38">
      <c r="A38" s="20" t="n"/>
      <c r="B38" s="21" t="n"/>
      <c r="C38" s="8" t="n"/>
      <c r="D38" s="8" t="n"/>
      <c r="E38" s="24" t="n"/>
      <c r="F38" s="24" t="n"/>
      <c r="G38" s="9" t="n"/>
      <c r="H38" s="9" t="n"/>
      <c r="I38" s="10">
        <f>IF(E38=0,"",F38/E38)</f>
        <v/>
      </c>
      <c r="J38" s="11">
        <f>IF(F38=0,"",E38/F38)</f>
        <v/>
      </c>
      <c r="K38" s="11">
        <f>IF(D38=0,"",G38/D38)</f>
        <v/>
      </c>
      <c r="L38" s="10">
        <f>IF(D38=0,"",E38/D38)</f>
        <v/>
      </c>
      <c r="M38" s="12">
        <f>IF(C38=0,"",D38/C38)</f>
        <v/>
      </c>
      <c r="N38" s="13" t="n"/>
      <c r="O38" s="1" t="n"/>
      <c r="P38" s="5" t="n"/>
    </row>
    <row r="39">
      <c r="A39" s="20" t="n"/>
      <c r="B39" s="21" t="n"/>
      <c r="C39" s="8" t="n"/>
      <c r="D39" s="8" t="n"/>
      <c r="E39" s="24" t="n"/>
      <c r="F39" s="24" t="n"/>
      <c r="G39" s="9" t="n"/>
      <c r="H39" s="9" t="n"/>
      <c r="I39" s="10">
        <f>IF(E39=0,"",F39/E39)</f>
        <v/>
      </c>
      <c r="J39" s="11">
        <f>IF(F39=0,"",E39/F39)</f>
        <v/>
      </c>
      <c r="K39" s="11">
        <f>IF(D39=0,"",G39/D39)</f>
        <v/>
      </c>
      <c r="L39" s="10">
        <f>IF(D39=0,"",E39/D39)</f>
        <v/>
      </c>
      <c r="M39" s="12">
        <f>IF(C39=0,"",D39/C39)</f>
        <v/>
      </c>
      <c r="N39" s="13" t="n"/>
      <c r="O39" s="1" t="n"/>
      <c r="P39" s="5" t="n"/>
    </row>
    <row r="40">
      <c r="A40" s="20" t="n"/>
      <c r="B40" s="21" t="n"/>
      <c r="C40" s="8" t="n"/>
      <c r="D40" s="8" t="n"/>
      <c r="E40" s="24" t="n"/>
      <c r="F40" s="24" t="n"/>
      <c r="G40" s="9" t="n"/>
      <c r="H40" s="9" t="n"/>
      <c r="I40" s="10">
        <f>IF(E40=0,"",F40/E40)</f>
        <v/>
      </c>
      <c r="J40" s="11">
        <f>IF(F40=0,"",E40/F40)</f>
        <v/>
      </c>
      <c r="K40" s="11">
        <f>IF(D40=0,"",G40/D40)</f>
        <v/>
      </c>
      <c r="L40" s="10">
        <f>IF(D40=0,"",E40/D40)</f>
        <v/>
      </c>
      <c r="M40" s="12">
        <f>IF(C40=0,"",D40/C40)</f>
        <v/>
      </c>
      <c r="N40" s="13" t="n"/>
      <c r="O40" s="1" t="n"/>
      <c r="P40" s="5" t="n"/>
    </row>
    <row r="41">
      <c r="A41" s="20" t="n"/>
      <c r="B41" s="21" t="n"/>
      <c r="C41" s="8" t="n"/>
      <c r="D41" s="8" t="n"/>
      <c r="E41" s="24" t="n"/>
      <c r="F41" s="24" t="n"/>
      <c r="G41" s="9" t="n"/>
      <c r="H41" s="9" t="n"/>
      <c r="I41" s="10">
        <f>IF(E41=0,"",F41/E41)</f>
        <v/>
      </c>
      <c r="J41" s="11">
        <f>IF(F41=0,"",E41/F41)</f>
        <v/>
      </c>
      <c r="K41" s="11">
        <f>IF(D41=0,"",G41/D41)</f>
        <v/>
      </c>
      <c r="L41" s="10">
        <f>IF(D41=0,"",E41/D41)</f>
        <v/>
      </c>
      <c r="M41" s="12">
        <f>IF(C41=0,"",D41/C41)</f>
        <v/>
      </c>
      <c r="N41" s="13" t="n"/>
      <c r="O41" s="1" t="n"/>
      <c r="P41" s="5" t="n"/>
    </row>
    <row r="42">
      <c r="A42" s="20" t="n"/>
      <c r="B42" s="21" t="n"/>
      <c r="C42" s="8" t="n"/>
      <c r="D42" s="8" t="n"/>
      <c r="E42" s="24" t="n"/>
      <c r="F42" s="24" t="n"/>
      <c r="G42" s="9" t="n"/>
      <c r="H42" s="9" t="n"/>
      <c r="I42" s="10">
        <f>IF(E42=0,"",F42/E42)</f>
        <v/>
      </c>
      <c r="J42" s="11">
        <f>IF(F42=0,"",E42/F42)</f>
        <v/>
      </c>
      <c r="K42" s="11">
        <f>IF(D42=0,"",G42/D42)</f>
        <v/>
      </c>
      <c r="L42" s="10">
        <f>IF(D42=0,"",E42/D42)</f>
        <v/>
      </c>
      <c r="M42" s="12">
        <f>IF(C42=0,"",D42/C42)</f>
        <v/>
      </c>
      <c r="N42" s="13" t="n"/>
      <c r="O42" s="1" t="n"/>
      <c r="P42" s="5" t="n"/>
    </row>
    <row r="43">
      <c r="A43" s="20" t="n"/>
      <c r="B43" s="21" t="n"/>
      <c r="C43" s="8" t="n"/>
      <c r="D43" s="8" t="n"/>
      <c r="E43" s="24" t="n"/>
      <c r="F43" s="24" t="n"/>
      <c r="G43" s="9" t="n"/>
      <c r="H43" s="9" t="n"/>
      <c r="I43" s="10">
        <f>IF(E43=0,"",F43/E43)</f>
        <v/>
      </c>
      <c r="J43" s="11">
        <f>IF(F43=0,"",E43/F43)</f>
        <v/>
      </c>
      <c r="K43" s="11">
        <f>IF(D43=0,"",G43/D43)</f>
        <v/>
      </c>
      <c r="L43" s="10">
        <f>IF(D43=0,"",E43/D43)</f>
        <v/>
      </c>
      <c r="M43" s="12">
        <f>IF(C43=0,"",D43/C43)</f>
        <v/>
      </c>
      <c r="N43" s="13" t="n"/>
      <c r="O43" s="1" t="n"/>
      <c r="P43" s="5" t="n"/>
    </row>
    <row r="44">
      <c r="A44" s="20" t="n"/>
      <c r="B44" s="21" t="n"/>
      <c r="C44" s="8" t="n"/>
      <c r="D44" s="8" t="n"/>
      <c r="E44" s="24" t="n"/>
      <c r="F44" s="24" t="n"/>
      <c r="G44" s="9" t="n"/>
      <c r="H44" s="9" t="n"/>
      <c r="I44" s="10">
        <f>IF(E44=0,"",F44/E44)</f>
        <v/>
      </c>
      <c r="J44" s="11">
        <f>IF(F44=0,"",E44/F44)</f>
        <v/>
      </c>
      <c r="K44" s="11">
        <f>IF(D44=0,"",G44/D44)</f>
        <v/>
      </c>
      <c r="L44" s="10">
        <f>IF(D44=0,"",E44/D44)</f>
        <v/>
      </c>
      <c r="M44" s="12">
        <f>IF(C44=0,"",D44/C44)</f>
        <v/>
      </c>
      <c r="N44" s="13" t="n"/>
      <c r="O44" s="1" t="n"/>
      <c r="P44" s="5" t="n"/>
    </row>
    <row r="45">
      <c r="A45" s="20" t="n"/>
      <c r="B45" s="21" t="n"/>
      <c r="C45" s="8" t="n"/>
      <c r="D45" s="8" t="n"/>
      <c r="E45" s="24" t="n"/>
      <c r="F45" s="24" t="n"/>
      <c r="G45" s="9" t="n"/>
      <c r="H45" s="9" t="n"/>
      <c r="I45" s="10">
        <f>IF(E45=0,"",F45/E45)</f>
        <v/>
      </c>
      <c r="J45" s="11">
        <f>IF(F45=0,"",E45/F45)</f>
        <v/>
      </c>
      <c r="K45" s="11">
        <f>IF(D45=0,"",G45/D45)</f>
        <v/>
      </c>
      <c r="L45" s="10">
        <f>IF(D45=0,"",E45/D45)</f>
        <v/>
      </c>
      <c r="M45" s="12">
        <f>IF(C45=0,"",D45/C45)</f>
        <v/>
      </c>
      <c r="N45" s="13" t="n"/>
      <c r="O45" s="1" t="n"/>
      <c r="P45" s="5" t="n"/>
    </row>
    <row r="46">
      <c r="A46" s="20" t="n"/>
      <c r="B46" s="21" t="n"/>
      <c r="C46" s="8" t="n"/>
      <c r="D46" s="8" t="n"/>
      <c r="E46" s="24" t="n"/>
      <c r="F46" s="24" t="n"/>
      <c r="G46" s="9" t="n"/>
      <c r="H46" s="9" t="n"/>
      <c r="I46" s="10">
        <f>IF(E46=0,"",F46/E46)</f>
        <v/>
      </c>
      <c r="J46" s="11">
        <f>IF(F46=0,"",E46/F46)</f>
        <v/>
      </c>
      <c r="K46" s="11">
        <f>IF(D46=0,"",G46/D46)</f>
        <v/>
      </c>
      <c r="L46" s="10">
        <f>IF(D46=0,"",E46/D46)</f>
        <v/>
      </c>
      <c r="M46" s="12">
        <f>IF(C46=0,"",D46/C46)</f>
        <v/>
      </c>
      <c r="N46" s="13" t="n"/>
      <c r="O46" s="1" t="n"/>
      <c r="P46" s="5" t="n"/>
    </row>
    <row r="47">
      <c r="A47" s="20" t="n"/>
      <c r="B47" s="21" t="n"/>
      <c r="C47" s="8" t="n"/>
      <c r="D47" s="8" t="n"/>
      <c r="E47" s="24" t="n"/>
      <c r="F47" s="24" t="n"/>
      <c r="G47" s="9" t="n"/>
      <c r="H47" s="9" t="n"/>
      <c r="I47" s="10">
        <f>IF(E47=0,"",F47/E47)</f>
        <v/>
      </c>
      <c r="J47" s="11">
        <f>IF(F47=0,"",E47/F47)</f>
        <v/>
      </c>
      <c r="K47" s="11">
        <f>IF(D47=0,"",G47/D47)</f>
        <v/>
      </c>
      <c r="L47" s="10">
        <f>IF(D47=0,"",E47/D47)</f>
        <v/>
      </c>
      <c r="M47" s="12">
        <f>IF(C47=0,"",D47/C47)</f>
        <v/>
      </c>
      <c r="N47" s="13" t="n"/>
      <c r="O47" s="1" t="n"/>
      <c r="P47" s="5" t="n"/>
    </row>
    <row r="48">
      <c r="A48" s="20" t="n"/>
      <c r="B48" s="21" t="n"/>
      <c r="C48" s="8" t="n"/>
      <c r="D48" s="8" t="n"/>
      <c r="E48" s="24" t="n"/>
      <c r="F48" s="24" t="n"/>
      <c r="G48" s="9" t="n"/>
      <c r="H48" s="9" t="n"/>
      <c r="I48" s="10">
        <f>IF(E48=0,"",F48/E48)</f>
        <v/>
      </c>
      <c r="J48" s="11">
        <f>IF(F48=0,"",E48/F48)</f>
        <v/>
      </c>
      <c r="K48" s="11">
        <f>IF(D48=0,"",G48/D48)</f>
        <v/>
      </c>
      <c r="L48" s="10">
        <f>IF(D48=0,"",E48/D48)</f>
        <v/>
      </c>
      <c r="M48" s="12">
        <f>IF(C48=0,"",D48/C48)</f>
        <v/>
      </c>
      <c r="N48" s="13" t="n"/>
      <c r="O48" s="1" t="n"/>
      <c r="P48" s="5" t="n"/>
    </row>
    <row r="49">
      <c r="A49" s="20" t="n"/>
      <c r="B49" s="21" t="n"/>
      <c r="C49" s="8" t="n"/>
      <c r="D49" s="8" t="n"/>
      <c r="E49" s="24" t="n"/>
      <c r="F49" s="24" t="n"/>
      <c r="G49" s="9" t="n"/>
      <c r="H49" s="9" t="n"/>
      <c r="I49" s="10">
        <f>IF(E49=0,"",F49/E49)</f>
        <v/>
      </c>
      <c r="J49" s="11">
        <f>IF(F49=0,"",E49/F49)</f>
        <v/>
      </c>
      <c r="K49" s="11">
        <f>IF(D49=0,"",G49/D49)</f>
        <v/>
      </c>
      <c r="L49" s="10">
        <f>IF(D49=0,"",E49/D49)</f>
        <v/>
      </c>
      <c r="M49" s="12">
        <f>IF(C49=0,"",D49/C49)</f>
        <v/>
      </c>
      <c r="N49" s="13" t="n"/>
      <c r="O49" s="1" t="n"/>
      <c r="P49" s="5" t="n"/>
    </row>
    <row r="50">
      <c r="A50" s="20" t="n"/>
      <c r="B50" s="21" t="n"/>
      <c r="C50" s="8" t="n"/>
      <c r="D50" s="8" t="n"/>
      <c r="E50" s="24" t="n"/>
      <c r="F50" s="24" t="n"/>
      <c r="G50" s="9" t="n"/>
      <c r="H50" s="9" t="n"/>
      <c r="I50" s="10">
        <f>IF(E50=0,"",F50/E50)</f>
        <v/>
      </c>
      <c r="J50" s="11">
        <f>IF(F50=0,"",E50/F50)</f>
        <v/>
      </c>
      <c r="K50" s="11">
        <f>IF(D50=0,"",G50/D50)</f>
        <v/>
      </c>
      <c r="L50" s="10">
        <f>IF(D50=0,"",E50/D50)</f>
        <v/>
      </c>
      <c r="M50" s="12">
        <f>IF(C50=0,"",D50/C50)</f>
        <v/>
      </c>
      <c r="N50" s="13" t="n"/>
      <c r="O50" s="1" t="n"/>
      <c r="P50" s="5" t="n"/>
    </row>
    <row r="51">
      <c r="A51" s="20" t="n"/>
      <c r="B51" s="21" t="n"/>
      <c r="C51" s="8" t="n"/>
      <c r="D51" s="8" t="n"/>
      <c r="E51" s="24" t="n"/>
      <c r="F51" s="24" t="n"/>
      <c r="G51" s="9" t="n"/>
      <c r="H51" s="9" t="n"/>
      <c r="I51" s="10">
        <f>IF(E51=0,"",F51/E51)</f>
        <v/>
      </c>
      <c r="J51" s="11">
        <f>IF(F51=0,"",E51/F51)</f>
        <v/>
      </c>
      <c r="K51" s="11">
        <f>IF(D51=0,"",G51/D51)</f>
        <v/>
      </c>
      <c r="L51" s="10">
        <f>IF(D51=0,"",E51/D51)</f>
        <v/>
      </c>
      <c r="M51" s="12">
        <f>IF(C51=0,"",D51/C51)</f>
        <v/>
      </c>
      <c r="N51" s="13" t="n"/>
      <c r="O51" s="1" t="n"/>
      <c r="P51" s="5" t="n"/>
    </row>
    <row r="52">
      <c r="A52" s="20" t="n"/>
      <c r="B52" s="21" t="n"/>
      <c r="C52" s="8" t="n"/>
      <c r="D52" s="8" t="n"/>
      <c r="E52" s="24" t="n"/>
      <c r="F52" s="24" t="n"/>
      <c r="G52" s="9" t="n"/>
      <c r="H52" s="9" t="n"/>
      <c r="I52" s="10">
        <f>IF(E52=0,"",F52/E52)</f>
        <v/>
      </c>
      <c r="J52" s="11">
        <f>IF(F52=0,"",E52/F52)</f>
        <v/>
      </c>
      <c r="K52" s="11">
        <f>IF(D52=0,"",G52/D52)</f>
        <v/>
      </c>
      <c r="L52" s="10">
        <f>IF(D52=0,"",E52/D52)</f>
        <v/>
      </c>
      <c r="M52" s="12">
        <f>IF(C52=0,"",D52/C52)</f>
        <v/>
      </c>
      <c r="N52" s="13" t="n"/>
      <c r="O52" s="1" t="n"/>
      <c r="P52" s="5" t="n"/>
    </row>
    <row r="53">
      <c r="A53" s="20" t="n"/>
      <c r="B53" s="21" t="n"/>
      <c r="C53" s="8" t="n"/>
      <c r="D53" s="8" t="n"/>
      <c r="E53" s="24" t="n"/>
      <c r="F53" s="24" t="n"/>
      <c r="G53" s="9" t="n"/>
      <c r="H53" s="9" t="n"/>
      <c r="I53" s="10">
        <f>IF(E53=0,"",F53/E53)</f>
        <v/>
      </c>
      <c r="J53" s="11">
        <f>IF(F53=0,"",E53/F53)</f>
        <v/>
      </c>
      <c r="K53" s="11">
        <f>IF(D53=0,"",G53/D53)</f>
        <v/>
      </c>
      <c r="L53" s="10">
        <f>IF(D53=0,"",E53/D53)</f>
        <v/>
      </c>
      <c r="M53" s="12">
        <f>IF(C53=0,"",D53/C53)</f>
        <v/>
      </c>
      <c r="N53" s="13" t="n"/>
      <c r="O53" s="1" t="n"/>
      <c r="P53" s="5" t="n"/>
    </row>
    <row r="54">
      <c r="A54" s="20" t="n"/>
      <c r="B54" s="21" t="n"/>
      <c r="C54" s="8" t="n"/>
      <c r="D54" s="8" t="n"/>
      <c r="E54" s="24" t="n"/>
      <c r="F54" s="24" t="n"/>
      <c r="G54" s="9" t="n"/>
      <c r="H54" s="9" t="n"/>
      <c r="I54" s="10">
        <f>IF(E54=0,"",F54/E54)</f>
        <v/>
      </c>
      <c r="J54" s="11">
        <f>IF(F54=0,"",E54/F54)</f>
        <v/>
      </c>
      <c r="K54" s="11">
        <f>IF(D54=0,"",G54/D54)</f>
        <v/>
      </c>
      <c r="L54" s="10">
        <f>IF(D54=0,"",E54/D54)</f>
        <v/>
      </c>
      <c r="M54" s="12">
        <f>IF(C54=0,"",D54/C54)</f>
        <v/>
      </c>
      <c r="N54" s="13" t="n"/>
      <c r="O54" s="1" t="n"/>
      <c r="P54" s="5" t="n"/>
    </row>
    <row r="55">
      <c r="A55" s="20" t="n"/>
      <c r="B55" s="21" t="n"/>
      <c r="C55" s="8" t="n"/>
      <c r="D55" s="8" t="n"/>
      <c r="E55" s="24" t="n"/>
      <c r="F55" s="24" t="n"/>
      <c r="G55" s="9" t="n"/>
      <c r="H55" s="9" t="n"/>
      <c r="I55" s="10">
        <f>IF(E55=0,"",F55/E55)</f>
        <v/>
      </c>
      <c r="J55" s="11">
        <f>IF(F55=0,"",E55/F55)</f>
        <v/>
      </c>
      <c r="K55" s="11">
        <f>IF(D55=0,"",G55/D55)</f>
        <v/>
      </c>
      <c r="L55" s="10">
        <f>IF(D55=0,"",E55/D55)</f>
        <v/>
      </c>
      <c r="M55" s="12">
        <f>IF(C55=0,"",D55/C55)</f>
        <v/>
      </c>
      <c r="N55" s="13" t="n"/>
      <c r="O55" s="1" t="n"/>
      <c r="P55" s="5" t="n"/>
    </row>
    <row r="56">
      <c r="A56" s="20" t="n"/>
      <c r="B56" s="21" t="n"/>
      <c r="C56" s="8" t="n"/>
      <c r="D56" s="8" t="n"/>
      <c r="E56" s="24" t="n"/>
      <c r="F56" s="24" t="n"/>
      <c r="G56" s="9" t="n"/>
      <c r="H56" s="9" t="n"/>
      <c r="I56" s="10">
        <f>IF(E56=0,"",F56/E56)</f>
        <v/>
      </c>
      <c r="J56" s="11">
        <f>IF(F56=0,"",E56/F56)</f>
        <v/>
      </c>
      <c r="K56" s="11">
        <f>IF(D56=0,"",G56/D56)</f>
        <v/>
      </c>
      <c r="L56" s="10">
        <f>IF(D56=0,"",E56/D56)</f>
        <v/>
      </c>
      <c r="M56" s="12">
        <f>IF(C56=0,"",D56/C56)</f>
        <v/>
      </c>
      <c r="N56" s="13" t="n"/>
      <c r="O56" s="1" t="n"/>
      <c r="P56" s="5" t="n"/>
    </row>
    <row r="57">
      <c r="A57" s="20" t="n"/>
      <c r="B57" s="21" t="n"/>
      <c r="C57" s="8" t="n"/>
      <c r="D57" s="8" t="n"/>
      <c r="E57" s="24" t="n"/>
      <c r="F57" s="24" t="n"/>
      <c r="G57" s="9" t="n"/>
      <c r="H57" s="9" t="n"/>
      <c r="I57" s="10">
        <f>IF(E57=0,"",F57/E57)</f>
        <v/>
      </c>
      <c r="J57" s="11">
        <f>IF(F57=0,"",E57/F57)</f>
        <v/>
      </c>
      <c r="K57" s="11">
        <f>IF(D57=0,"",G57/D57)</f>
        <v/>
      </c>
      <c r="L57" s="10">
        <f>IF(D57=0,"",E57/D57)</f>
        <v/>
      </c>
      <c r="M57" s="12">
        <f>IF(C57=0,"",D57/C57)</f>
        <v/>
      </c>
      <c r="N57" s="13" t="n"/>
      <c r="O57" s="1" t="n"/>
      <c r="P57" s="5" t="n"/>
    </row>
    <row r="58">
      <c r="A58" s="20" t="n"/>
      <c r="B58" s="21" t="n"/>
      <c r="C58" s="8" t="n"/>
      <c r="D58" s="8" t="n"/>
      <c r="E58" s="24" t="n"/>
      <c r="F58" s="24" t="n"/>
      <c r="G58" s="9" t="n"/>
      <c r="H58" s="9" t="n"/>
      <c r="I58" s="10">
        <f>IF(E58=0,"",F58/E58)</f>
        <v/>
      </c>
      <c r="J58" s="11">
        <f>IF(F58=0,"",E58/F58)</f>
        <v/>
      </c>
      <c r="K58" s="11">
        <f>IF(D58=0,"",G58/D58)</f>
        <v/>
      </c>
      <c r="L58" s="10">
        <f>IF(D58=0,"",E58/D58)</f>
        <v/>
      </c>
      <c r="M58" s="12">
        <f>IF(C58=0,"",D58/C58)</f>
        <v/>
      </c>
      <c r="N58" s="13" t="n"/>
      <c r="O58" s="1" t="n"/>
      <c r="P58" s="5" t="n"/>
    </row>
    <row r="59">
      <c r="A59" s="20" t="n"/>
      <c r="B59" s="21" t="n"/>
      <c r="C59" s="8" t="n"/>
      <c r="D59" s="8" t="n"/>
      <c r="E59" s="24" t="n"/>
      <c r="F59" s="24" t="n"/>
      <c r="G59" s="9" t="n"/>
      <c r="H59" s="9" t="n"/>
      <c r="I59" s="10">
        <f>IF(E59=0,"",F59/E59)</f>
        <v/>
      </c>
      <c r="J59" s="11">
        <f>IF(F59=0,"",E59/F59)</f>
        <v/>
      </c>
      <c r="K59" s="11">
        <f>IF(D59=0,"",G59/D59)</f>
        <v/>
      </c>
      <c r="L59" s="10">
        <f>IF(D59=0,"",E59/D59)</f>
        <v/>
      </c>
      <c r="M59" s="12">
        <f>IF(C59=0,"",D59/C59)</f>
        <v/>
      </c>
      <c r="N59" s="13" t="n"/>
      <c r="O59" s="1" t="n"/>
      <c r="P59" s="5" t="n"/>
    </row>
    <row r="60">
      <c r="A60" s="22" t="n"/>
      <c r="B60" s="23" t="n"/>
      <c r="C60" s="14" t="n"/>
      <c r="D60" s="14" t="n"/>
      <c r="E60" s="25" t="n"/>
      <c r="F60" s="25" t="n"/>
      <c r="G60" s="15" t="n"/>
      <c r="H60" s="15" t="n"/>
      <c r="I60" s="16">
        <f>IF(E60=0,"",F60/E60)</f>
        <v/>
      </c>
      <c r="J60" s="17">
        <f>IF(F60=0,"",E60/F60)</f>
        <v/>
      </c>
      <c r="K60" s="17">
        <f>IF(D60=0,"",G60/D60)</f>
        <v/>
      </c>
      <c r="L60" s="16">
        <f>IF(D60=0,"",E60/D60)</f>
        <v/>
      </c>
      <c r="M60" s="18">
        <f>IF(C60=0,"",D60/C60)</f>
        <v/>
      </c>
      <c r="N60" s="19" t="n"/>
      <c r="O60" s="6" t="n"/>
      <c r="P60" s="7" t="n"/>
    </row>
    <row r="62" ht="26.1" customHeight="1">
      <c r="A62" s="58" t="inlineStr">
        <is>
          <t>Fluxo: preencher os dados do export semanal → revisar Status semanal → registrar Notas → decisões de Ads continuam sendo tomadas pela Skill/Playbook/Parâmetros vigentes.</t>
        </is>
      </c>
    </row>
  </sheetData>
  <mergeCells count="5">
    <mergeCell ref="A1:P1"/>
    <mergeCell ref="A4:P4"/>
    <mergeCell ref="A62:P62"/>
    <mergeCell ref="A3:P3"/>
    <mergeCell ref="A2:P2"/>
  </mergeCells>
  <conditionalFormatting sqref="N6:N60">
    <cfRule type="expression" priority="1" dxfId="5">
      <formula>N6="NORMAL / AGUARDAR"</formula>
    </cfRule>
    <cfRule type="expression" priority="2" dxfId="4">
      <formula>N6="VIGIA"</formula>
    </cfRule>
    <cfRule type="expression" priority="3" dxfId="3">
      <formula>N6="INVESTIGAR"</formula>
    </cfRule>
    <cfRule type="expression" priority="4" dxfId="2">
      <formula>N6="PROBLEMA OPERACIONAL"</formula>
    </cfRule>
    <cfRule type="expression" priority="5" dxfId="1">
      <formula>N6="EMERGÊNCIA"</formula>
    </cfRule>
    <cfRule type="expression" priority="6" dxfId="0">
      <formula>N6="DADO INSUFICIENTE"</formula>
    </cfRule>
  </conditionalFormatting>
  <dataValidations count="1">
    <dataValidation sqref="N6:N60" showDropDown="0" showInputMessage="0" showErrorMessage="0" allowBlank="0" type="list">
      <formula1>"NORMAL / AGUARDAR,VIGIA,INVESTIGAR,PROBLEMA OPERACIONAL,EMERGÊNCIA,DADO INSUFICIENTE"</formula1>
    </dataValidation>
  </dataValidations>
  <pageMargins left="0.7" right="0.7" top="0.75" bottom="0.75" header="0.3" footer="0.3"/>
  <pageSetup orientation="portrait" paperSize="9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2026-10-19T17:10:12Z</dcterms:modified>
  <cp:lastModifiedBy>Usuário do Windows</cp:lastModifiedBy>
</cp:coreProperties>
</file>