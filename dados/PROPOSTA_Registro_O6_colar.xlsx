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6-001 a 014 (colar em A63)" sheetId="1" state="visible" r:id="rId1"/>
    <sheet name="Vereditos O5 (linhas 36-5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COMO USAR: selecione A2:V15 desta aba, copie, e cole em A63 da aba Registro_Alteracoes (linha 63 = primeira vazia após EC-016 em 62). Colunas Q e R já vêm com fórmula. Nas 5 linhas APROVADA - EXECUÇÃO PENDENTE (001, 002, 003, 005, 011): após executar, preencher E (data), O = SIM e P = EXECUTADA - EM MATURAÇÃO. Depois conferir os contadores da linha 6.</t>
        </is>
      </c>
    </row>
    <row r="2">
      <c r="A2" t="inlineStr">
        <is>
          <t>O6-001</t>
        </is>
      </c>
      <c r="B2" t="inlineStr">
        <is>
          <t>O6</t>
        </is>
      </c>
      <c r="C2" t="inlineStr">
        <is>
          <t>22/09/2026</t>
        </is>
      </c>
      <c r="D2" t="inlineStr">
        <is>
          <t>22/09/2026</t>
        </is>
      </c>
      <c r="E2" t="inlineStr"/>
      <c r="F2" t="inlineStr">
        <is>
          <t>Auto SP-PP-o59/09</t>
        </is>
      </c>
      <c r="G2" t="inlineStr">
        <is>
          <t>campanha</t>
        </is>
      </c>
      <c r="H2" t="inlineStr">
        <is>
          <t>PAUSAR CAMPANHA</t>
        </is>
      </c>
      <c r="I2" t="inlineStr">
        <is>
          <t>Ativa (só close-match e complements), lance 1,32, R$ 10/dia</t>
        </is>
      </c>
      <c r="J2" t="inlineStr">
        <is>
          <t>Pausada</t>
        </is>
      </c>
      <c r="K2" t="inlineStr">
        <is>
          <t>Gatilho O5-010 disparado: 0 cliques na Era 10–21/09. 30d: 29.085 impr / 14 cliques (todos em termos "parede", pré-09/09) / 0 venda. Vitalício 26 cliques / 0. Cobertura mantida pela Geral (SP-PP 2.370 impr / 4 cli em 30d) e pela Manual Bituqueiras.</t>
        </is>
      </c>
      <c r="L2" t="inlineStr">
        <is>
          <t>ciclos/O6-22-09_diagnostico-chat-canonico.md + ciclos/O6-22-09_auditoria-code.md + relatorios/amazon/o6-22-09/</t>
        </is>
      </c>
      <c r="M2" t="inlineStr">
        <is>
          <t>ALTA</t>
        </is>
      </c>
      <c r="N2" t="inlineStr">
        <is>
          <t>SIM</t>
        </is>
      </c>
      <c r="O2" t="inlineStr">
        <is>
          <t>NÃO</t>
        </is>
      </c>
      <c r="P2" t="inlineStr">
        <is>
          <t>APROVADA - EXECUÇÃO PENDENTE</t>
        </is>
      </c>
      <c r="Q2">
        <f>IF(E63="","",E63+1)</f>
        <v/>
      </c>
      <c r="R2">
        <f>IF(E63="","",TODAY()-E63)</f>
        <v/>
      </c>
      <c r="S2" t="inlineStr"/>
      <c r="T2" t="inlineStr"/>
      <c r="U2" t="inlineStr">
        <is>
          <t>13/10/2026</t>
        </is>
      </c>
      <c r="V2" t="inlineStr">
        <is>
          <t>Reativar só com evidência nova de demanda relevante. Não é a Geral — regra de não pausar a Geral não se aplica.</t>
        </is>
      </c>
    </row>
    <row r="3">
      <c r="A3" t="inlineStr">
        <is>
          <t>O6-002</t>
        </is>
      </c>
      <c r="B3" t="inlineStr">
        <is>
          <t>O6</t>
        </is>
      </c>
      <c r="C3" t="inlineStr">
        <is>
          <t>22/09/2026</t>
        </is>
      </c>
      <c r="D3" t="inlineStr">
        <is>
          <t>22/09/2026</t>
        </is>
      </c>
      <c r="E3" t="inlineStr"/>
      <c r="F3" t="inlineStr">
        <is>
          <t>Auto EGC</t>
        </is>
      </c>
      <c r="G3" t="inlineStr">
        <is>
          <t>campanha</t>
        </is>
      </c>
      <c r="H3" t="inlineStr">
        <is>
          <t>PAUSAR CAMPANHA</t>
        </is>
      </c>
      <c r="I3" t="inlineStr">
        <is>
          <t>Ativa, lances fixos R$ 0,84, R$ 5/dia</t>
        </is>
      </c>
      <c r="J3" t="inlineStr">
        <is>
          <t>Pausada</t>
        </is>
      </c>
      <c r="K3" t="inlineStr">
        <is>
          <t>Gatilho O5-007 disparado nas duas condições: 0 vendas E CTR 0,17% (&lt; 0,3%) na Era (10 cli / R$ 7,58). 30d: 8.534 impr / 11 cli / 0. Teste de oferta no 9.9 zerou. BR 24 sessões / 0 unidade. Problema é de página/CTR, não de entrega.</t>
        </is>
      </c>
      <c r="L3" t="inlineStr">
        <is>
          <t>ciclos/O6-22-09_diagnostico-chat-canonico.md + ciclos/O6-22-09_auditoria-code.md + relatorios/amazon/o6-22-09/</t>
        </is>
      </c>
      <c r="M3" t="inlineStr">
        <is>
          <t>ALTA</t>
        </is>
      </c>
      <c r="N3" t="inlineStr">
        <is>
          <t>SIM</t>
        </is>
      </c>
      <c r="O3" t="inlineStr">
        <is>
          <t>NÃO</t>
        </is>
      </c>
      <c r="P3" t="inlineStr">
        <is>
          <t>APROVADA - EXECUÇÃO PENDENTE</t>
        </is>
      </c>
      <c r="Q3">
        <f>IF(E64="","",E64+1)</f>
        <v/>
      </c>
      <c r="R3">
        <f>IF(E64="","",TODAY()-E64)</f>
        <v/>
      </c>
      <c r="S3" t="inlineStr"/>
      <c r="T3" t="inlineStr"/>
      <c r="U3" t="inlineStr">
        <is>
          <t>13/10/2026</t>
        </is>
      </c>
      <c r="V3" t="inlineStr">
        <is>
          <t>Lance 0,84 registrado para eventual retorno após revisão de página. EGC segue anunciado pela Geral.</t>
        </is>
      </c>
    </row>
    <row r="4">
      <c r="A4" t="inlineStr">
        <is>
          <t>O6-003</t>
        </is>
      </c>
      <c r="B4" t="inlineStr">
        <is>
          <t>O6</t>
        </is>
      </c>
      <c r="C4" t="inlineStr">
        <is>
          <t>22/09/2026</t>
        </is>
      </c>
      <c r="D4" t="inlineStr">
        <is>
          <t>22/09/2026</t>
        </is>
      </c>
      <c r="E4" t="inlineStr"/>
      <c r="F4" t="inlineStr">
        <is>
          <t>PI P3070-o228/07</t>
        </is>
      </c>
      <c r="G4" t="inlineStr">
        <is>
          <t>alvo asin-expanded="B09YDLC69D"</t>
        </is>
      </c>
      <c r="H4" t="inlineStr">
        <is>
          <t>PAUSAR ALVO</t>
        </is>
      </c>
      <c r="I4" t="inlineStr">
        <is>
          <t>Ativo, lance 1,10</t>
        </is>
      </c>
      <c r="J4" t="inlineStr">
        <is>
          <t>Pausado</t>
        </is>
      </c>
      <c r="K4" t="inlineStr">
        <is>
          <t>Régua formal de PI (15+ cliques vitalícios sem venda): 16 cliques / R$ 21,64 / 2.896 impr / 0 compra (export vitalício de 22/09, confirmado como "Vitalício" pelo LEO). 10 cliques em 30d. Primeiro alvo da conta a cruzar a régua. Só o alvo — a campanha segue.</t>
        </is>
      </c>
      <c r="L4" t="inlineStr">
        <is>
          <t>ciclos/O6-22-09_diagnostico-chat-canonico.md + ciclos/O6-22-09_auditoria-code.md + relatorios/amazon/o6-22-09/</t>
        </is>
      </c>
      <c r="M4" t="inlineStr">
        <is>
          <t>ALTA</t>
        </is>
      </c>
      <c r="N4" t="inlineStr">
        <is>
          <t>SIM</t>
        </is>
      </c>
      <c r="O4" t="inlineStr">
        <is>
          <t>NÃO</t>
        </is>
      </c>
      <c r="P4" t="inlineStr">
        <is>
          <t>APROVADA - EXECUÇÃO PENDENTE</t>
        </is>
      </c>
      <c r="Q4">
        <f>IF(E65="","",E65+1)</f>
        <v/>
      </c>
      <c r="R4">
        <f>IF(E65="","",TODAY()-E65)</f>
        <v/>
      </c>
      <c r="S4" t="inlineStr"/>
      <c r="T4" t="inlineStr"/>
      <c r="U4" t="inlineStr">
        <is>
          <t>13/10/2026</t>
        </is>
      </c>
      <c r="V4" t="inlineStr">
        <is>
          <t>Régua de PI é no nível do alvo — nunca converter em pausa de campanha.</t>
        </is>
      </c>
    </row>
    <row r="5">
      <c r="A5" t="inlineStr">
        <is>
          <t>O6-004</t>
        </is>
      </c>
      <c r="B5" t="inlineStr">
        <is>
          <t>O6</t>
        </is>
      </c>
      <c r="C5" t="inlineStr">
        <is>
          <t>22/09/2026</t>
        </is>
      </c>
      <c r="D5" t="inlineStr">
        <is>
          <t>22/09/2026</t>
        </is>
      </c>
      <c r="E5" t="inlineStr">
        <is>
          <t>22/09/2026</t>
        </is>
      </c>
      <c r="F5" t="inlineStr">
        <is>
          <t>PI P3070-o228/07</t>
        </is>
      </c>
      <c r="G5" t="inlineStr">
        <is>
          <t>campanha (lances asin-expanded 1,10 / asin 0,90)</t>
        </is>
      </c>
      <c r="H5" t="inlineStr">
        <is>
          <t>VIGIA — gatilho re-armado (sem mudança de lance)</t>
        </is>
      </c>
      <c r="I5" t="inlineStr">
        <is>
          <t>Congelada, gatilho O5-011 desarmado em 15/09</t>
        </is>
      </c>
      <c r="J5" t="inlineStr">
        <is>
          <t>Ativa, lances mantidos. Gatilho O7: 0 venda atribuída na Era O6→O7 E ≥15 cliques → −20% nos asin-expanded (1,10 → 0,88)</t>
        </is>
      </c>
      <c r="K5" t="inlineStr">
        <is>
          <t>Era: 52 cli / R$ 71,10 / 1 compra R$ 616,18 no ALVO PRÓPRIO (asin-expanded="B0H63FKGPJ", auto-segmentação) / ACOS 11,5%. Entrega dobrou (CTR 0,15%); ≥50 cliques em alvos de terceiros sem venda; vitalício 149 cliques sem compra. ACOS sustentado por 1 ticket — não promover a ESCALAR. Break-even do SKU ≈ 25,8%.</t>
        </is>
      </c>
      <c r="L5" t="inlineStr">
        <is>
          <t>ciclos/O6-22-09_diagnostico-chat-canonico.md + ciclos/O6-22-09_auditoria-code.md + relatorios/amazon/o6-22-09/</t>
        </is>
      </c>
      <c r="M5" t="inlineStr">
        <is>
          <t>MÉDIA</t>
        </is>
      </c>
      <c r="N5" t="inlineStr">
        <is>
          <t>SIM</t>
        </is>
      </c>
      <c r="O5" t="inlineStr">
        <is>
          <t>SIM</t>
        </is>
      </c>
      <c r="P5" t="inlineStr">
        <is>
          <t>EXECUTADA - EM MATURAÇÃO</t>
        </is>
      </c>
      <c r="Q5">
        <f>IF(E66="","",E66+1)</f>
        <v/>
      </c>
      <c r="R5">
        <f>IF(E66="","",TODAY()-E66)</f>
        <v/>
      </c>
      <c r="S5" t="inlineStr"/>
      <c r="T5" t="inlineStr"/>
      <c r="U5" t="inlineStr">
        <is>
          <t>13/10/2026</t>
        </is>
      </c>
      <c r="V5" t="inlineStr">
        <is>
          <t>Triagem de alvos (5–14 cli vit / 0): B0CYWMQ93Y 11 · B0BHMZBZW9 7 · B0BSNVT11K 5 · B0F4T8FCDD 5 · B0778TD2LY 5.</t>
        </is>
      </c>
    </row>
    <row r="6">
      <c r="A6" t="inlineStr">
        <is>
          <t>O6-005</t>
        </is>
      </c>
      <c r="B6" t="inlineStr">
        <is>
          <t>O6</t>
        </is>
      </c>
      <c r="C6" t="inlineStr">
        <is>
          <t>22/09/2026</t>
        </is>
      </c>
      <c r="D6" t="inlineStr">
        <is>
          <t>22/09/2026</t>
        </is>
      </c>
      <c r="E6" t="inlineStr"/>
      <c r="F6" t="inlineStr">
        <is>
          <t>Geral DBA-o59/09</t>
        </is>
      </c>
      <c r="G6" t="inlineStr">
        <is>
          <t>segmentação loose-match (Correspondência vaga)</t>
        </is>
      </c>
      <c r="H6" t="inlineStr">
        <is>
          <t>REDUZIR LANCE</t>
        </is>
      </c>
      <c r="I6" t="inlineStr">
        <is>
          <t>R$ 0,54</t>
        </is>
      </c>
      <c r="J6" t="inlineStr">
        <is>
          <t>R$ 0,45 (−17%)</t>
        </is>
      </c>
      <c r="K6" t="inlineStr">
        <is>
          <t>Era (export de segmentação filtrado 10–21/09): 70 cli / R$ 45,57 = 60,3% do gasto da Geral / 1 compra R$ 132,90 / ACOS 34,3% (acima do Máximo). 30d: R$ 161,97 = 56,6% / 237 cli / 2 compras / ACOS 60,9% (acima da Emergência). Simétrico à O5-001. Orçamento R$ 90 mantido (consumo 7%).</t>
        </is>
      </c>
      <c r="L6" t="inlineStr">
        <is>
          <t>ciclos/O6-22-09_diagnostico-chat-canonico.md + ciclos/O6-22-09_auditoria-code.md + relatorios/amazon/o6-22-09/</t>
        </is>
      </c>
      <c r="M6" t="inlineStr">
        <is>
          <t>ALTA</t>
        </is>
      </c>
      <c r="N6" t="inlineStr">
        <is>
          <t>SIM</t>
        </is>
      </c>
      <c r="O6" t="inlineStr">
        <is>
          <t>NÃO</t>
        </is>
      </c>
      <c r="P6" t="inlineStr">
        <is>
          <t>APROVADA - EXECUÇÃO PENDENTE</t>
        </is>
      </c>
      <c r="Q6">
        <f>IF(E67="","",E67+1)</f>
        <v/>
      </c>
      <c r="R6">
        <f>IF(E67="","",TODAY()-E67)</f>
        <v/>
      </c>
      <c r="S6" t="inlineStr"/>
      <c r="T6" t="inlineStr"/>
      <c r="U6" t="inlineStr">
        <is>
          <t>13/10/2026</t>
        </is>
      </c>
      <c r="V6" t="inlineStr">
        <is>
          <t>⚠️ Conferir na execução pelos cliques/custo (70 cli · R$ 45,57), NÃO pelo nome — "vaga" = loose-match. Mesma armadilha da O5-010.</t>
        </is>
      </c>
    </row>
    <row r="7">
      <c r="A7" t="inlineStr">
        <is>
          <t>O6-006</t>
        </is>
      </c>
      <c r="B7" t="inlineStr">
        <is>
          <t>O6</t>
        </is>
      </c>
      <c r="C7" t="inlineStr">
        <is>
          <t>22/09/2026</t>
        </is>
      </c>
      <c r="D7" t="inlineStr">
        <is>
          <t>22/09/2026</t>
        </is>
      </c>
      <c r="E7" t="inlineStr">
        <is>
          <t>22/09/2026</t>
        </is>
      </c>
      <c r="F7" t="inlineStr">
        <is>
          <t>Geral DBA-o59/09</t>
        </is>
      </c>
      <c r="G7" t="inlineStr">
        <is>
          <t>produto anunciado Q2460-B (B0H7YNMBBK)</t>
        </is>
      </c>
      <c r="H7" t="inlineStr">
        <is>
          <t>VIGIA — gatilho em 28/09</t>
        </is>
      </c>
      <c r="I7" t="inlineStr">
        <is>
          <t>Anunciado na Geral; desconto no preço 5% ativo até 27/09 (EC-012)</t>
        </is>
      </c>
      <c r="J7" t="inlineStr">
        <is>
          <t>Sem mudança até 27/09. Gatilho 28/09: 0 venda na semana de desconto → pausar o anúncio do Q2460-B dentro da Geral (nível produto) até revisão de página; com venda → manter e reler na O7</t>
        </is>
      </c>
      <c r="K7" t="inlineStr">
        <is>
          <t>30d: 69 cli / R$ 45,78 / 0 venda (16% do gasto da Geral). BR 27 sessões / 0 unidade. Zero conversão crônica. Desconto roda sem preço riscado (sem preço de referência) — teste enfraquecido.</t>
        </is>
      </c>
      <c r="L7" t="inlineStr">
        <is>
          <t>ciclos/O6-22-09_diagnostico-chat-canonico.md + ciclos/O6-22-09_auditoria-code.md + relatorios/amazon/o6-22-09/</t>
        </is>
      </c>
      <c r="M7" t="inlineStr">
        <is>
          <t>MÉDIA</t>
        </is>
      </c>
      <c r="N7" t="inlineStr">
        <is>
          <t>SIM</t>
        </is>
      </c>
      <c r="O7" t="inlineStr">
        <is>
          <t>SIM</t>
        </is>
      </c>
      <c r="P7" t="inlineStr">
        <is>
          <t>EXECUTADA - EM MATURAÇÃO</t>
        </is>
      </c>
      <c r="Q7">
        <f>IF(E68="","",E68+1)</f>
        <v/>
      </c>
      <c r="R7">
        <f>IF(E68="","",TODAY()-E68)</f>
        <v/>
      </c>
      <c r="S7" t="inlineStr"/>
      <c r="T7" t="inlineStr"/>
      <c r="U7" t="inlineStr">
        <is>
          <t>28/09/2026</t>
        </is>
      </c>
      <c r="V7" t="inlineStr">
        <is>
          <t>INVESTIGAR CONVERSÃO DO SKU — fila de página. Não é pausa da Geral.</t>
        </is>
      </c>
    </row>
    <row r="8">
      <c r="A8" t="inlineStr">
        <is>
          <t>O6-007</t>
        </is>
      </c>
      <c r="B8" t="inlineStr">
        <is>
          <t>O6</t>
        </is>
      </c>
      <c r="C8" t="inlineStr">
        <is>
          <t>22/09/2026</t>
        </is>
      </c>
      <c r="D8" t="inlineStr">
        <is>
          <t>22/09/2026</t>
        </is>
      </c>
      <c r="E8" t="inlineStr">
        <is>
          <t>22/09/2026</t>
        </is>
      </c>
      <c r="F8" t="inlineStr">
        <is>
          <t>6B Lixeiras banheiro</t>
        </is>
      </c>
      <c r="G8" t="inlineStr">
        <is>
          <t>O5-013 (promover "lixeira banheiro 10 com tampa" para manual)</t>
        </is>
      </c>
      <c r="H8" t="inlineStr">
        <is>
          <t>CANCELAR (evidência retirada)</t>
        </is>
      </c>
      <c r="I8" t="inlineStr">
        <is>
          <t>BLOQUEADA - CONFERIR ESTADO</t>
        </is>
      </c>
      <c r="J8" t="inlineStr">
        <is>
          <t>CANCELADA</t>
        </is>
      </c>
      <c r="K8" t="inlineStr">
        <is>
          <t>A única evidência (venda L2030-T R$ 143,13 de 01/09) foi DEVOLVIDA — devolução aprovada 17/09 (Registro_Vendas linha 53, pedido 701-5825355-7110610). O termo volta à triagem normal.</t>
        </is>
      </c>
      <c r="L8" t="inlineStr">
        <is>
          <t>ciclos/O6-22-09_diagnostico-chat-canonico.md + ciclos/O6-22-09_auditoria-code.md + relatorios/amazon/o6-22-09/</t>
        </is>
      </c>
      <c r="M8" t="inlineStr">
        <is>
          <t>ALTA</t>
        </is>
      </c>
      <c r="N8" t="inlineStr">
        <is>
          <t>SIM</t>
        </is>
      </c>
      <c r="O8" t="inlineStr">
        <is>
          <t>SIM</t>
        </is>
      </c>
      <c r="P8" t="inlineStr">
        <is>
          <t>EXECUTADA - AVALIADA</t>
        </is>
      </c>
      <c r="Q8">
        <f>IF(E69="","",E69+1)</f>
        <v/>
      </c>
      <c r="R8">
        <f>IF(E69="","",TODAY()-E69)</f>
        <v/>
      </c>
      <c r="S8" t="inlineStr"/>
      <c r="T8" t="inlineStr"/>
      <c r="U8" t="inlineStr"/>
      <c r="V8" t="inlineStr">
        <is>
          <t>Atualizar a linha 48 (O5-013): Status → CANCELADA; Veredito → "CANCELADA — venda-base devolvida 17/09".</t>
        </is>
      </c>
    </row>
    <row r="9">
      <c r="A9" t="inlineStr">
        <is>
          <t>O6-008</t>
        </is>
      </c>
      <c r="B9" t="inlineStr">
        <is>
          <t>O6</t>
        </is>
      </c>
      <c r="C9" t="inlineStr">
        <is>
          <t>22/09/2026</t>
        </is>
      </c>
      <c r="D9" t="inlineStr">
        <is>
          <t>22/09/2026</t>
        </is>
      </c>
      <c r="E9" t="inlineStr">
        <is>
          <t>22/09/2026</t>
        </is>
      </c>
      <c r="F9" t="inlineStr">
        <is>
          <t>6B Lixeiras banheiro</t>
        </is>
      </c>
      <c r="G9" t="inlineStr">
        <is>
          <t>exata "lixeira inox para pia de cozinha" (1,50, dinâmico)</t>
        </is>
      </c>
      <c r="H9" t="inlineStr">
        <is>
          <t>VIGIA</t>
        </is>
      </c>
      <c r="I9" t="inlineStr">
        <is>
          <t>Ativa, lance 1,50</t>
        </is>
      </c>
      <c r="J9" t="inlineStr">
        <is>
          <t>Sem mudança. Gatilho O7: ≥15 cliques sem venda → reduzir −20% (1,50 → 1,20) ou pausar a keyword</t>
        </is>
      </c>
      <c r="K9" t="inlineStr">
        <is>
          <t>30d: 778 impr / 13 cli / R$ 22,97 / 0 venda = 63% do gasto da campanha. Hipótese: termo de intenção "pia" (3 L) atendido por SKUs de 7–15 L; o L1618-T não está no grupo.</t>
        </is>
      </c>
      <c r="L9" t="inlineStr">
        <is>
          <t>ciclos/O6-22-09_diagnostico-chat-canonico.md + ciclos/O6-22-09_auditoria-code.md + relatorios/amazon/o6-22-09/</t>
        </is>
      </c>
      <c r="M9" t="inlineStr">
        <is>
          <t>MÉDIA</t>
        </is>
      </c>
      <c r="N9" t="inlineStr">
        <is>
          <t>SIM</t>
        </is>
      </c>
      <c r="O9" t="inlineStr">
        <is>
          <t>SIM</t>
        </is>
      </c>
      <c r="P9" t="inlineStr">
        <is>
          <t>EXECUTADA - EM MATURAÇÃO</t>
        </is>
      </c>
      <c r="Q9">
        <f>IF(E70="","",E70+1)</f>
        <v/>
      </c>
      <c r="R9">
        <f>IF(E70="","",TODAY()-E70)</f>
        <v/>
      </c>
      <c r="S9" t="inlineStr"/>
      <c r="T9" t="inlineStr"/>
      <c r="U9" t="inlineStr">
        <is>
          <t>13/10/2026</t>
        </is>
      </c>
      <c r="V9" t="inlineStr"/>
    </row>
    <row r="10">
      <c r="A10" t="inlineStr">
        <is>
          <t>O6-009</t>
        </is>
      </c>
      <c r="B10" t="inlineStr">
        <is>
          <t>O6</t>
        </is>
      </c>
      <c r="C10" t="inlineStr">
        <is>
          <t>22/09/2026</t>
        </is>
      </c>
      <c r="D10" t="inlineStr">
        <is>
          <t>22/09/2026</t>
        </is>
      </c>
      <c r="E10" t="inlineStr">
        <is>
          <t>22/09/2026</t>
        </is>
      </c>
      <c r="F10" t="inlineStr">
        <is>
          <t>6B Lixeiras banheiro</t>
        </is>
      </c>
      <c r="G10" t="inlineStr">
        <is>
          <t>O5-014 (L2025-B no grupo)</t>
        </is>
      </c>
      <c r="H10" t="inlineStr">
        <is>
          <t>MANTER (fechada sem ação)</t>
        </is>
      </c>
      <c r="I10" t="inlineStr">
        <is>
          <t>L2025-B no grupo</t>
        </is>
      </c>
      <c r="J10" t="inlineStr">
        <is>
          <t>Sem mudança</t>
        </is>
      </c>
      <c r="K10" t="inlineStr">
        <is>
          <t>30d: perna L2025-B do termo "lixeira banheiro 7 litros" = 3 cli / R$ 5,34 / 0; sem clique novo desde a O5.</t>
        </is>
      </c>
      <c r="L10" t="inlineStr">
        <is>
          <t>ciclos/O6-22-09_diagnostico-chat-canonico.md + ciclos/O6-22-09_auditoria-code.md + relatorios/amazon/o6-22-09/</t>
        </is>
      </c>
      <c r="M10" t="inlineStr">
        <is>
          <t>MÉDIA</t>
        </is>
      </c>
      <c r="N10" t="inlineStr">
        <is>
          <t>SIM</t>
        </is>
      </c>
      <c r="O10" t="inlineStr">
        <is>
          <t>SIM</t>
        </is>
      </c>
      <c r="P10" t="inlineStr">
        <is>
          <t>EXECUTADA - AVALIADA</t>
        </is>
      </c>
      <c r="Q10">
        <f>IF(E71="","",E71+1)</f>
        <v/>
      </c>
      <c r="R10">
        <f>IF(E71="","",TODAY()-E71)</f>
        <v/>
      </c>
      <c r="S10" t="inlineStr"/>
      <c r="T10" t="inlineStr"/>
      <c r="U10" t="inlineStr"/>
      <c r="V10" t="inlineStr">
        <is>
          <t>Fechar a linha 49 (O5-014) com veredito "FECHADA SEM AÇÃO".</t>
        </is>
      </c>
    </row>
    <row r="11">
      <c r="A11" t="inlineStr">
        <is>
          <t>O6-010</t>
        </is>
      </c>
      <c r="B11" t="inlineStr">
        <is>
          <t>O6</t>
        </is>
      </c>
      <c r="C11" t="inlineStr">
        <is>
          <t>22/09/2026</t>
        </is>
      </c>
      <c r="D11" t="inlineStr">
        <is>
          <t>22/09/2026</t>
        </is>
      </c>
      <c r="E11" t="inlineStr">
        <is>
          <t>22/09/2026</t>
        </is>
      </c>
      <c r="F11" t="inlineStr">
        <is>
          <t>6B · L3070-B (piloto dinâmico) · Extintor · Cinzeiros · Bituqueiras (controle fixo)</t>
        </is>
      </c>
      <c r="G11" t="inlineStr">
        <is>
          <t>estratégia de lances — piloto O4-014 / O5-009</t>
        </is>
      </c>
      <c r="H11" t="inlineStr">
        <is>
          <t>MANTER (piloto +1 Era)</t>
        </is>
      </c>
      <c r="I11" t="inlineStr">
        <is>
          <t>6B e L3070-B dinâmicas; controles fixos</t>
        </is>
      </c>
      <c r="J11" t="inlineStr">
        <is>
          <t>Sem mudança. Encerrar o piloto na O7 se repetir zero diferença e devolver 6B e L3070-B ao fixo</t>
        </is>
      </c>
      <c r="K11" t="inlineStr">
        <is>
          <t>Veredito da O6: INCONCLUSIVO. Era: 6B 7 cli / R$ 13,59 / 0 venda / CPC 1,94 (vs 11 / 1 / 1,60 na Era da O5); L3070-B 0 cli (0 vs 0). Controles: Extintor 0, Cinzeiros 1, Bituqueiras 0 cli. Nenhuma evidência de que o dinâmico compra leilão que o fixo perde.</t>
        </is>
      </c>
      <c r="L11" t="inlineStr">
        <is>
          <t>ciclos/O6-22-09_diagnostico-chat-canonico.md + ciclos/O6-22-09_auditoria-code.md + relatorios/amazon/o6-22-09/</t>
        </is>
      </c>
      <c r="M11" t="inlineStr">
        <is>
          <t>MÉDIA</t>
        </is>
      </c>
      <c r="N11" t="inlineStr">
        <is>
          <t>SIM</t>
        </is>
      </c>
      <c r="O11" t="inlineStr">
        <is>
          <t>SIM</t>
        </is>
      </c>
      <c r="P11" t="inlineStr">
        <is>
          <t>EXECUTADA - EM MATURAÇÃO</t>
        </is>
      </c>
      <c r="Q11">
        <f>IF(E72="","",E72+1)</f>
        <v/>
      </c>
      <c r="R11">
        <f>IF(E72="","",TODAY()-E72)</f>
        <v/>
      </c>
      <c r="S11" t="inlineStr"/>
      <c r="T11" t="inlineStr"/>
      <c r="U11" t="inlineStr">
        <is>
          <t>13/10/2026</t>
        </is>
      </c>
      <c r="V11" t="inlineStr">
        <is>
          <t>Não migrar os controles.</t>
        </is>
      </c>
    </row>
    <row r="12">
      <c r="A12" t="inlineStr">
        <is>
          <t>O6-011</t>
        </is>
      </c>
      <c r="B12" t="inlineStr">
        <is>
          <t>O6</t>
        </is>
      </c>
      <c r="C12" t="inlineStr">
        <is>
          <t>22/09/2026</t>
        </is>
      </c>
      <c r="D12" t="inlineStr">
        <is>
          <t>22/09/2026</t>
        </is>
      </c>
      <c r="E12" t="inlineStr"/>
      <c r="F12" t="inlineStr">
        <is>
          <t>Prime Day 05–11/10/2026 (Melhor Oferta)</t>
        </is>
      </c>
      <c r="G12" t="inlineStr">
        <is>
          <t>PXM 10% (R$ 183,19) · PG2460 10% (R$ 223,88) · P3070 15% (R$ 523,75) · P3060 15% (R$ 434,71) · P4080 15% (R$ 909,64) · P3050 10% (R$ 420,90, opcional) · PXP 10% (R$ 151,10) — EXCEÇÃO AO PISO</t>
        </is>
      </c>
      <c r="H12" t="inlineStr">
        <is>
          <t>CRIAR OFERTAS</t>
        </is>
      </c>
      <c r="I12" t="inlineStr">
        <is>
          <t>Sem ofertas inscritas</t>
        </is>
      </c>
      <c r="J12" t="inlineStr">
        <is>
          <t>Ofertas inscritas pelo LEO em 22/09</t>
        </is>
      </c>
      <c r="K12" t="inlineStr">
        <is>
          <t>Margens no Simulador SP Interior (piso 15%): PXM 15,0% · PG2460 16,7% · P3070 16,9% · P3060 19,4% · P4080 15,9% · P3050 17,8% · PXP 13,4% — abaixo do piso; entra como EXCEÇÃO DOCUMENTADA por decisão do LEO (22/09), com base na margem realizada de 21,2% e 25,2% nos 2 pedidos de 08/09 (frete real abaixo da Ref_Frete; n=2). Mínimo do evento 10%. 9.9: PXP, PXM e PG2460 converteram com oferta. Relâmpago vetada (EC-004).</t>
        </is>
      </c>
      <c r="L12" t="inlineStr">
        <is>
          <t>ciclos/O6-22-09_diagnostico-chat-canonico.md + ciclos/O6-22-09_auditoria-code.md + relatorios/amazon/o6-22-09/</t>
        </is>
      </c>
      <c r="M12" t="inlineStr">
        <is>
          <t>MÉDIA</t>
        </is>
      </c>
      <c r="N12" t="inlineStr">
        <is>
          <t>SIM</t>
        </is>
      </c>
      <c r="O12" t="inlineStr">
        <is>
          <t>NÃO</t>
        </is>
      </c>
      <c r="P12" t="inlineStr">
        <is>
          <t>APROVADA - EXECUÇÃO PENDENTE</t>
        </is>
      </c>
      <c r="Q12">
        <f>IF(E73="","",E73+1)</f>
        <v/>
      </c>
      <c r="R12">
        <f>IF(E73="","",TODAY()-E73)</f>
        <v/>
      </c>
      <c r="S12" t="inlineStr"/>
      <c r="T12" t="inlineStr"/>
      <c r="U12" t="inlineStr">
        <is>
          <t>13/10/2026</t>
        </is>
      </c>
      <c r="V12" t="inlineStr">
        <is>
          <t>Fora: L2450-AML, Q2460-B, L2025-T, L1618-T, EGC, L2030, L1618-B. Nenhuma empilha com desconto no preço (todos encerram 27/09). Conferir preço de referência calculado pela Amazon na tela. Marcar: a oferta do P3070 contamina a leitura de Ads da PI na Era do evento.</t>
        </is>
      </c>
    </row>
    <row r="13">
      <c r="A13" t="inlineStr">
        <is>
          <t>O6-012</t>
        </is>
      </c>
      <c r="B13" t="inlineStr">
        <is>
          <t>O6</t>
        </is>
      </c>
      <c r="C13" t="inlineStr">
        <is>
          <t>22/09/2026</t>
        </is>
      </c>
      <c r="D13" t="inlineStr">
        <is>
          <t>22/09/2026</t>
        </is>
      </c>
      <c r="E13" t="inlineStr">
        <is>
          <t>22/09/2026</t>
        </is>
      </c>
      <c r="F13" t="inlineStr">
        <is>
          <t>Migração de ASIN / concentração</t>
        </is>
      </c>
      <c r="G13" t="inlineStr">
        <is>
          <t>escopo</t>
        </is>
      </c>
      <c r="H13" t="inlineStr">
        <is>
          <t>NÃO DECIDIR AINDA</t>
        </is>
      </c>
      <c r="I13" t="inlineStr">
        <is>
          <t>—</t>
        </is>
      </c>
      <c r="J13" t="inlineStr">
        <is>
          <t>—</t>
        </is>
      </c>
      <c r="K13" t="inlineStr">
        <is>
          <t>Bloqueio físico: três grafias de marca (adesivo "Winnet Home &amp; Pro" · gravação "WIN NET METAIS" · Brand Registry "WINNET METAIS"). Isenção de GTIN recusada em 14/09; GS1 a um documento (Faturamento Fiscal, em análise). Decisão da produção/Dianna sobre a marcação.</t>
        </is>
      </c>
      <c r="L13" t="inlineStr">
        <is>
          <t>ciclos/O6-22-09_diagnostico-chat-canonico.md + ciclos/O6-22-09_auditoria-code.md + relatorios/amazon/o6-22-09/</t>
        </is>
      </c>
      <c r="M13" t="inlineStr">
        <is>
          <t>ALTA</t>
        </is>
      </c>
      <c r="N13" t="inlineStr">
        <is>
          <t>SIM</t>
        </is>
      </c>
      <c r="O13" t="inlineStr">
        <is>
          <t>SIM</t>
        </is>
      </c>
      <c r="P13" t="inlineStr">
        <is>
          <t>EXECUTADA - EM MATURAÇÃO</t>
        </is>
      </c>
      <c r="Q13">
        <f>IF(E74="","",E74+1)</f>
        <v/>
      </c>
      <c r="R13">
        <f>IF(E74="","",TODAY()-E74)</f>
        <v/>
      </c>
      <c r="S13" t="inlineStr"/>
      <c r="T13" t="inlineStr"/>
      <c r="U13" t="inlineStr">
        <is>
          <t>13/10/2026</t>
        </is>
      </c>
      <c r="V13" t="inlineStr">
        <is>
          <t>Registrar, não analisar.</t>
        </is>
      </c>
    </row>
    <row r="14">
      <c r="A14" t="inlineStr">
        <is>
          <t>O6-013</t>
        </is>
      </c>
      <c r="B14" t="inlineStr">
        <is>
          <t>O6</t>
        </is>
      </c>
      <c r="C14" t="inlineStr">
        <is>
          <t>22/09/2026</t>
        </is>
      </c>
      <c r="D14" t="inlineStr">
        <is>
          <t>22/09/2026</t>
        </is>
      </c>
      <c r="E14" t="inlineStr">
        <is>
          <t>22/09/2026</t>
        </is>
      </c>
      <c r="F14" t="inlineStr">
        <is>
          <t>Geral DBA-o59/09</t>
        </is>
      </c>
      <c r="G14" t="inlineStr">
        <is>
          <t>ASIN B0BHMZBZW9 como termo/placement (Lixeira Inox com Pedal New Tramontina 30 L — R$ 199,97, 4,6★, 1.555 avaliações)</t>
        </is>
      </c>
      <c r="H14" t="inlineStr">
        <is>
          <t>VIGIA (relevante, conquista improvável)</t>
        </is>
      </c>
      <c r="I14" t="inlineStr">
        <is>
          <t>Sem exclusão</t>
        </is>
      </c>
      <c r="J14" t="inlineStr">
        <is>
          <t>Sem mudança. Gatilho O7: ≥15 cliques em 30d sem venda → excluir o produto na Geral</t>
        </is>
      </c>
      <c r="K14" t="inlineStr">
        <is>
          <t>13 cli / R$ 8,34 / 0 na Geral (30d) + 7 cli vit na PI P3070 = 20 na conta. Anunciados ali: P3050, P3070, Q2460-B a 1,8–3,1× o preço, sem prova social. Mesma categoria → não é irrelevância → não negativar por irrelevância. Evidência de mercado para a hipótese PREÇO/OFERTA nos pedais.</t>
        </is>
      </c>
      <c r="L14" t="inlineStr">
        <is>
          <t>ciclos/O6-22-09_diagnostico-chat-canonico.md + ciclos/O6-22-09_auditoria-code.md + relatorios/amazon/o6-22-09/</t>
        </is>
      </c>
      <c r="M14" t="inlineStr">
        <is>
          <t>MÉDIA</t>
        </is>
      </c>
      <c r="N14" t="inlineStr">
        <is>
          <t>SIM</t>
        </is>
      </c>
      <c r="O14" t="inlineStr">
        <is>
          <t>SIM</t>
        </is>
      </c>
      <c r="P14" t="inlineStr">
        <is>
          <t>EXECUTADA - EM MATURAÇÃO</t>
        </is>
      </c>
      <c r="Q14">
        <f>IF(E75="","",E75+1)</f>
        <v/>
      </c>
      <c r="R14">
        <f>IF(E75="","",TODAY()-E75)</f>
        <v/>
      </c>
      <c r="S14" t="inlineStr"/>
      <c r="T14" t="inlineStr"/>
      <c r="U14" t="inlineStr">
        <is>
          <t>13/10/2026</t>
        </is>
      </c>
      <c r="V14" t="inlineStr"/>
    </row>
    <row r="15">
      <c r="A15" t="inlineStr">
        <is>
          <t>O6-014</t>
        </is>
      </c>
      <c r="B15" t="inlineStr">
        <is>
          <t>O6</t>
        </is>
      </c>
      <c r="C15" t="inlineStr">
        <is>
          <t>22/09/2026</t>
        </is>
      </c>
      <c r="D15" t="inlineStr">
        <is>
          <t>22/09/2026</t>
        </is>
      </c>
      <c r="E15" t="inlineStr">
        <is>
          <t>22/09/2026</t>
        </is>
      </c>
      <c r="F15" t="inlineStr">
        <is>
          <t>Geral (orçamento R$ 90) · auto PXP-o311/08 · PI L2030-B-o311/08 · PI PXM-o311/08 · Extintor · Cinzeiros · Bituqueiras</t>
        </is>
      </c>
      <c r="G15" t="inlineStr">
        <is>
          <t>—</t>
        </is>
      </c>
      <c r="H15" t="inlineStr">
        <is>
          <t>MANTER</t>
        </is>
      </c>
      <c r="I15" t="inlineStr">
        <is>
          <t>—</t>
        </is>
      </c>
      <c r="J15" t="inlineStr">
        <is>
          <t>Sem mudança</t>
        </is>
      </c>
      <c r="K15" t="inlineStr">
        <is>
          <t>Geral: consumo 7% do orçamento — não é restrição. Auto PXP: Era 7 cli / 0; vit 28 cli / 4 compras (as vendas de 08/09 confirmadas na Mestra). PI L2030-B: 5 cli / 0; vit 21 / 3 compras. PI PXM: 1 compra R$ 519,03 no alvo B0H4S7ZKXS (PXP, família); CTR segue na fila de página. Extintor 0 cli / TOS IS &gt;95% · Cinzeiros 1 cli · Bituqueiras 0 cli (métrica bruta, sem inferir teto).</t>
        </is>
      </c>
      <c r="L15" t="inlineStr">
        <is>
          <t>ciclos/O6-22-09_diagnostico-chat-canonico.md + ciclos/O6-22-09_auditoria-code.md + relatorios/amazon/o6-22-09/</t>
        </is>
      </c>
      <c r="M15" t="inlineStr">
        <is>
          <t>ALTA</t>
        </is>
      </c>
      <c r="N15" t="inlineStr">
        <is>
          <t>SIM</t>
        </is>
      </c>
      <c r="O15" t="inlineStr">
        <is>
          <t>SIM</t>
        </is>
      </c>
      <c r="P15" t="inlineStr">
        <is>
          <t>EXECUTADA - EM MATURAÇÃO</t>
        </is>
      </c>
      <c r="Q15">
        <f>IF(E76="","",E76+1)</f>
        <v/>
      </c>
      <c r="R15">
        <f>IF(E76="","",TODAY()-E76)</f>
        <v/>
      </c>
      <c r="S15" t="inlineStr"/>
      <c r="T15" t="inlineStr"/>
      <c r="U15" t="inlineStr">
        <is>
          <t>13/10/2026</t>
        </is>
      </c>
      <c r="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COMO USAR: para cada linha, colar P na coluna P, S em S, T em T e U em U da linha indicada. O5-013 (linha 48): P = CANCELADA.</t>
        </is>
      </c>
    </row>
    <row r="2">
      <c r="A2" t="inlineStr">
        <is>
          <t>Linha</t>
        </is>
      </c>
      <c r="B2" t="inlineStr">
        <is>
          <t>ID</t>
        </is>
      </c>
      <c r="C2" t="inlineStr">
        <is>
          <t>P — Status</t>
        </is>
      </c>
      <c r="D2" t="inlineStr">
        <is>
          <t>S — Resultado pós-alteração</t>
        </is>
      </c>
      <c r="E2" t="inlineStr">
        <is>
          <t>T — Veredito posterior</t>
        </is>
      </c>
      <c r="F2" t="inlineStr">
        <is>
          <t>U — Reavaliar em</t>
        </is>
      </c>
    </row>
    <row r="3">
      <c r="A3" t="n">
        <v>36</v>
      </c>
      <c r="B3" t="inlineStr">
        <is>
          <t>O5-001</t>
        </is>
      </c>
      <c r="C3" t="inlineStr">
        <is>
          <t>EXECUTADA - AVALIADA</t>
        </is>
      </c>
      <c r="D3" t="inlineStr">
        <is>
          <t>Era 10–21/09 (export de segmentação filtrado): substitutes 3.171 impr · 22 cli · R$ 9,23 = 12,2% do gasto da Geral (era 39% no 30d da O5) · 0 compras. 30d: R$ 96,11 (33,6%), ACOS 36,2%.</t>
        </is>
      </c>
      <c r="E3" t="inlineStr">
        <is>
          <t>POSITIVO — objetivo (tirar gasto da segmentação de ACOS 81%) atingido; 0 venda em 22 cliques não prova perda. Manter 0,45.</t>
        </is>
      </c>
      <c r="F3" t="inlineStr"/>
    </row>
    <row r="4">
      <c r="A4" t="n">
        <v>37</v>
      </c>
      <c r="B4" t="inlineStr">
        <is>
          <t>O5-002</t>
        </is>
      </c>
      <c r="C4" t="inlineStr">
        <is>
          <t>EXECUTADA - AVALIADA</t>
        </is>
      </c>
      <c r="D4" t="inlineStr">
        <is>
          <t>Era: close-match 4.878 impr · 30 cli (vs 24 em 30 dias na O5) · R$ 20,71 (27,4%) · 1 compra R$ 398,35 · ACOS 5,2% · CTR 0,62%.</t>
        </is>
      </c>
      <c r="E4" t="inlineStr">
        <is>
          <t>POSITIVO — mais volume na segmentação mais eficiente, ACOS dentro do Objetivo. Manter 0,54.</t>
        </is>
      </c>
      <c r="F4" t="inlineStr"/>
    </row>
    <row r="5">
      <c r="A5" t="n">
        <v>38</v>
      </c>
      <c r="B5" t="inlineStr">
        <is>
          <t>O5-003</t>
        </is>
      </c>
      <c r="C5" t="inlineStr">
        <is>
          <t>EXECUTADA - AVALIADA</t>
        </is>
      </c>
      <c r="D5" t="inlineStr">
        <is>
          <t>Era: R$ 75,51 em 12 dias = R$ 6,29/dia = 7% do teto de R$ 90.</t>
        </is>
      </c>
      <c r="E5" t="inlineStr">
        <is>
          <t>CONFIRMADA — orçamento não é restrição.</t>
        </is>
      </c>
      <c r="F5" t="inlineStr"/>
    </row>
    <row r="6">
      <c r="A6" t="n">
        <v>39</v>
      </c>
      <c r="B6" t="inlineStr">
        <is>
          <t>O5-004</t>
        </is>
      </c>
      <c r="C6" t="inlineStr">
        <is>
          <t>EXECUTADA - AVALIADA</t>
        </is>
      </c>
      <c r="D6" t="inlineStr">
        <is>
          <t>PAUSADO, custo 0 na Era. Família coberta pela Geral (L2470-CZ 569 impr / 1 cli em 30d).</t>
        </is>
      </c>
      <c r="E6" t="inlineStr">
        <is>
          <t>EFETIVA — sem reativação.</t>
        </is>
      </c>
      <c r="F6" t="inlineStr"/>
    </row>
    <row r="7">
      <c r="A7" t="n">
        <v>40</v>
      </c>
      <c r="B7" t="inlineStr">
        <is>
          <t>O5-005</t>
        </is>
      </c>
      <c r="C7" t="inlineStr">
        <is>
          <t>EXECUTADA - AVALIADA</t>
        </is>
      </c>
      <c r="D7" t="inlineStr">
        <is>
          <t>PAUSADO, custo 0. PG3070 na Geral: 512 impr / 0 cli.</t>
        </is>
      </c>
      <c r="E7" t="inlineStr">
        <is>
          <t>EFETIVA.</t>
        </is>
      </c>
      <c r="F7" t="inlineStr"/>
    </row>
    <row r="8">
      <c r="A8" t="n">
        <v>41</v>
      </c>
      <c r="B8" t="inlineStr">
        <is>
          <t>O5-006</t>
        </is>
      </c>
      <c r="C8" t="inlineStr">
        <is>
          <t>EXECUTADA - AVALIADA</t>
        </is>
      </c>
      <c r="D8" t="inlineStr">
        <is>
          <t>PAUSADO, custo 0. Família extintor vendeu R$ 519,03 pela PI PXM na Era.</t>
        </is>
      </c>
      <c r="E8" t="inlineStr">
        <is>
          <t>EFETIVA — redundância confirmada.</t>
        </is>
      </c>
      <c r="F8" t="inlineStr"/>
    </row>
    <row r="9">
      <c r="A9" t="n">
        <v>42</v>
      </c>
      <c r="B9" t="inlineStr">
        <is>
          <t>O5-007</t>
        </is>
      </c>
      <c r="C9" t="inlineStr">
        <is>
          <t>EXECUTADA - AVALIADA</t>
        </is>
      </c>
      <c r="D9" t="inlineStr">
        <is>
          <t>Era: 10 cli / R$ 7,58 / 0 venda / CTR 0,17%. 30d: 8.534 impr / 11 cli / 0.</t>
        </is>
      </c>
      <c r="E9" t="inlineStr">
        <is>
          <t>GATILHO DISPAROU → O6-002 (pausar campanha).</t>
        </is>
      </c>
      <c r="F9" t="inlineStr"/>
    </row>
    <row r="10">
      <c r="A10" t="n">
        <v>43</v>
      </c>
      <c r="B10" t="inlineStr">
        <is>
          <t>O5-008</t>
        </is>
      </c>
      <c r="C10" t="inlineStr">
        <is>
          <t>EXECUTADA - EM MATURAÇÃO</t>
        </is>
      </c>
      <c r="D10" t="inlineStr">
        <is>
          <t>Era: 7 cli / R$ 13,59 / 0 venda / CPC 1,94 (vs 11 / 1 venda / 1,60 na Era da O5).</t>
        </is>
      </c>
      <c r="E10" t="inlineStr">
        <is>
          <t>INCONCLUSIVO — n = 1 venda total; +1 Era (O6-010).</t>
        </is>
      </c>
      <c r="F10" t="inlineStr">
        <is>
          <t>13/10/2026</t>
        </is>
      </c>
    </row>
    <row r="11">
      <c r="A11" t="n">
        <v>44</v>
      </c>
      <c r="B11" t="inlineStr">
        <is>
          <t>O5-009</t>
        </is>
      </c>
      <c r="C11" t="inlineStr">
        <is>
          <t>EXECUTADA - EM MATURAÇÃO</t>
        </is>
      </c>
      <c r="D11" t="inlineStr">
        <is>
          <t>Era: 0 cli / R$ 0; TOS IS 38,1% (teve impressões).</t>
        </is>
      </c>
      <c r="E11" t="inlineStr">
        <is>
          <t>SEM EFEITO OBSERVÁVEL (0 vs 0); +1 Era (O6-010).</t>
        </is>
      </c>
      <c r="F11" t="inlineStr">
        <is>
          <t>13/10/2026</t>
        </is>
      </c>
    </row>
    <row r="12">
      <c r="A12" t="n">
        <v>45</v>
      </c>
      <c r="B12" t="inlineStr">
        <is>
          <t>O5-010</t>
        </is>
      </c>
      <c r="C12" t="inlineStr">
        <is>
          <t>EXECUTADA - AVALIADA</t>
        </is>
      </c>
      <c r="D12" t="inlineStr">
        <is>
          <t>Era: 0 cliques. loose e substitutes sem atividade após 09/09 (correção do mesmo dia vigorou). 30d: close 96 impr / complements 212 impr, 0 cli.</t>
        </is>
      </c>
      <c r="E12" t="inlineStr">
        <is>
          <t>GATILHO DISPAROU → O6-001 (pausar campanha).</t>
        </is>
      </c>
      <c r="F12" t="inlineStr"/>
    </row>
    <row r="13">
      <c r="A13" t="n">
        <v>46</v>
      </c>
      <c r="B13" t="inlineStr">
        <is>
          <t>O5-011</t>
        </is>
      </c>
      <c r="C13" t="inlineStr">
        <is>
          <t>EXECUTADA - AVALIADA</t>
        </is>
      </c>
      <c r="D13" t="inlineStr">
        <is>
          <t>Desarmado 15/09. Era: 52 cli / R$ 71,10 / 1 venda R$ 616,18 no alvo próprio (asin-expanded="B0H63FKGPJ") / ACOS 11,5%. Alvo B09YDLC69D 16 cli vit / 0.</t>
        </is>
      </c>
      <c r="E13" t="inlineStr">
        <is>
          <t>DESARMADO; régua de alvo aplicada → O6-003; vigia re-armada → O6-004.</t>
        </is>
      </c>
      <c r="F13" t="inlineStr"/>
    </row>
    <row r="14">
      <c r="A14" t="n">
        <v>47</v>
      </c>
      <c r="B14" t="inlineStr">
        <is>
          <t>O5-012</t>
        </is>
      </c>
      <c r="C14" t="inlineStr">
        <is>
          <t>EXECUTADA - EM MATURAÇÃO</t>
        </is>
      </c>
      <c r="D14" t="inlineStr">
        <is>
          <t>PAUSADO no export da Era.</t>
        </is>
      </c>
      <c r="E14" t="inlineStr">
        <is>
          <t>NÃO AVALIÁVEL (não é performance); reativação condicionada à liberação do anúncio.</t>
        </is>
      </c>
      <c r="F14" t="inlineStr">
        <is>
          <t>quando o anúncio for liberado</t>
        </is>
      </c>
    </row>
    <row r="15">
      <c r="A15" t="n">
        <v>48</v>
      </c>
      <c r="B15" t="inlineStr">
        <is>
          <t>O5-013</t>
        </is>
      </c>
      <c r="C15" t="inlineStr">
        <is>
          <t>CANCELADA</t>
        </is>
      </c>
      <c r="D15" t="inlineStr">
        <is>
          <t>Venda-base (L2030-T R$ 143,13, 01/09) devolvida — aprovada 17/09.</t>
        </is>
      </c>
      <c r="E15" t="inlineStr">
        <is>
          <t>CANCELADA → O6-007.</t>
        </is>
      </c>
      <c r="F15" t="inlineStr"/>
    </row>
    <row r="16">
      <c r="A16" t="n">
        <v>49</v>
      </c>
      <c r="B16" t="inlineStr">
        <is>
          <t>O5-014</t>
        </is>
      </c>
      <c r="C16" t="inlineStr">
        <is>
          <t>EXECUTADA - AVALIADA</t>
        </is>
      </c>
      <c r="D16" t="inlineStr">
        <is>
          <t>30d: L2025-B 3 cli / R$ 5,34 / 0; sem clique novo desde a O5.</t>
        </is>
      </c>
      <c r="E16" t="inlineStr">
        <is>
          <t>FECHADA SEM AÇÃO → O6-009.</t>
        </is>
      </c>
      <c r="F16" t="inlineStr"/>
    </row>
    <row r="17">
      <c r="A17" t="n">
        <v>50</v>
      </c>
      <c r="B17" t="inlineStr">
        <is>
          <t>O5-015</t>
        </is>
      </c>
      <c r="C17" t="inlineStr">
        <is>
          <t>EXECUTADA - AVALIADA</t>
        </is>
      </c>
      <c r="D17" t="inlineStr">
        <is>
          <t>Era: Cinzeiros 1 / Bituqueiras 0 / Extintor 0 cliques; TOS IS 18% / 86% / &gt;95%.</t>
        </is>
      </c>
      <c r="E17" t="inlineStr">
        <is>
          <t>CONFIRMADA (métrica bruta; sem inferir teto).</t>
        </is>
      </c>
      <c r="F17" t="inlineStr"/>
    </row>
    <row r="18">
      <c r="A18" t="n">
        <v>51</v>
      </c>
      <c r="B18" t="inlineStr">
        <is>
          <t>O5-016</t>
        </is>
      </c>
      <c r="C18" t="inlineStr">
        <is>
          <t>EXECUTADA - AVALIADA</t>
        </is>
      </c>
      <c r="D18" t="inlineStr">
        <is>
          <t>Era: 2 cli / R$ 1,06 / 1 venda R$ 519,03 (Melhor Oferta −15%); CTR 30d 0,25%.</t>
        </is>
      </c>
      <c r="E18" t="inlineStr">
        <is>
          <t>MANTIDA — converteu em oferta; CTR segue na fila de página.</t>
        </is>
      </c>
      <c r="F18" t="inlineStr"/>
    </row>
    <row r="19">
      <c r="A19" t="n">
        <v>52</v>
      </c>
      <c r="B19" t="inlineStr">
        <is>
          <t>O5-017</t>
        </is>
      </c>
      <c r="C19" t="inlineStr">
        <is>
          <t>EXECUTADA - AVALIADA</t>
        </is>
      </c>
      <c r="D19" t="inlineStr">
        <is>
          <t>PI L2030-B Era 5 cli / 0; vit 21 cli / 3 compras. Auto PXP Era 7 cli / 0; a dúvida (+151,10 / +302,20) fecha: vendas reais de 08/09 no Registro_Vendas (PXP 1 un PR + 2 un SC).</t>
        </is>
      </c>
      <c r="E19" t="inlineStr">
        <is>
          <t>CONFIRMADA; dúvida da nota RESOLVIDA por fonte.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2026-09-22T17:30:25Z</dcterms:created>
  <dcterms:modified xsi:type="dcterms:W3CDTF">2026-09-22T17:30:25Z</dcterms:modified>
</cp:coreProperties>
</file>