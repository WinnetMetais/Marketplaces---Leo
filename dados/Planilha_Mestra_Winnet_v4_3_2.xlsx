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16815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E107" i="4"/>
  <c r="N106" i="4"/>
  <c r="O106" i="4" s="1"/>
  <c r="P106" i="4" s="1"/>
  <c r="L106" i="4"/>
  <c r="H106" i="4"/>
  <c r="I106" i="4" s="1"/>
  <c r="G106" i="4"/>
  <c r="K106" i="4" s="1"/>
  <c r="E106" i="4"/>
  <c r="L105" i="4"/>
  <c r="I105" i="4"/>
  <c r="H105" i="4"/>
  <c r="G105" i="4"/>
  <c r="M105" i="4" s="1"/>
  <c r="E105" i="4"/>
  <c r="L104" i="4"/>
  <c r="I104" i="4"/>
  <c r="H104" i="4"/>
  <c r="G104" i="4"/>
  <c r="K104" i="4" s="1"/>
  <c r="E104" i="4"/>
  <c r="N103" i="4"/>
  <c r="O103" i="4" s="1"/>
  <c r="P103" i="4" s="1"/>
  <c r="L103" i="4"/>
  <c r="K103" i="4"/>
  <c r="I103" i="4"/>
  <c r="H103" i="4"/>
  <c r="G103" i="4"/>
  <c r="M103" i="4" s="1"/>
  <c r="E103" i="4"/>
  <c r="N102" i="4"/>
  <c r="O102" i="4" s="1"/>
  <c r="P102" i="4" s="1"/>
  <c r="L102" i="4"/>
  <c r="H102" i="4"/>
  <c r="I102" i="4" s="1"/>
  <c r="G102" i="4"/>
  <c r="K102" i="4" s="1"/>
  <c r="E102" i="4"/>
  <c r="L101" i="4"/>
  <c r="I101" i="4"/>
  <c r="H101" i="4"/>
  <c r="G101" i="4"/>
  <c r="M101" i="4" s="1"/>
  <c r="E101" i="4"/>
  <c r="L100" i="4"/>
  <c r="I100" i="4"/>
  <c r="H100" i="4"/>
  <c r="G100" i="4"/>
  <c r="K100" i="4" s="1"/>
  <c r="E100" i="4"/>
  <c r="N99" i="4"/>
  <c r="O99" i="4" s="1"/>
  <c r="P99" i="4" s="1"/>
  <c r="L99" i="4"/>
  <c r="K99" i="4"/>
  <c r="I99" i="4"/>
  <c r="H99" i="4"/>
  <c r="G99" i="4"/>
  <c r="M99" i="4" s="1"/>
  <c r="E99" i="4"/>
  <c r="N98" i="4"/>
  <c r="O98" i="4" s="1"/>
  <c r="P98" i="4" s="1"/>
  <c r="L98" i="4"/>
  <c r="H98" i="4"/>
  <c r="I98" i="4" s="1"/>
  <c r="G98" i="4"/>
  <c r="K98" i="4" s="1"/>
  <c r="E98" i="4"/>
  <c r="L97" i="4"/>
  <c r="I97" i="4"/>
  <c r="H97" i="4"/>
  <c r="G97" i="4"/>
  <c r="M97" i="4" s="1"/>
  <c r="E97" i="4"/>
  <c r="L96" i="4"/>
  <c r="I96" i="4"/>
  <c r="H96" i="4"/>
  <c r="G96" i="4"/>
  <c r="K96" i="4" s="1"/>
  <c r="E96" i="4"/>
  <c r="N95" i="4"/>
  <c r="O95" i="4" s="1"/>
  <c r="P95" i="4" s="1"/>
  <c r="L95" i="4"/>
  <c r="K95" i="4"/>
  <c r="I95" i="4"/>
  <c r="H95" i="4"/>
  <c r="G95" i="4"/>
  <c r="M95" i="4" s="1"/>
  <c r="E95" i="4"/>
  <c r="N94" i="4"/>
  <c r="O94" i="4" s="1"/>
  <c r="P94" i="4" s="1"/>
  <c r="L94" i="4"/>
  <c r="H94" i="4"/>
  <c r="I94" i="4" s="1"/>
  <c r="G94" i="4"/>
  <c r="K94" i="4" s="1"/>
  <c r="E94" i="4"/>
  <c r="L93" i="4"/>
  <c r="I93" i="4"/>
  <c r="H93" i="4"/>
  <c r="G93" i="4"/>
  <c r="E93" i="4"/>
  <c r="L92" i="4"/>
  <c r="I92" i="4"/>
  <c r="H92" i="4"/>
  <c r="G92" i="4"/>
  <c r="E92" i="4"/>
  <c r="N91" i="4"/>
  <c r="O91" i="4" s="1"/>
  <c r="P91" i="4" s="1"/>
  <c r="L91" i="4"/>
  <c r="K91" i="4"/>
  <c r="I91" i="4"/>
  <c r="H91" i="4"/>
  <c r="G91" i="4"/>
  <c r="M91" i="4" s="1"/>
  <c r="E91" i="4"/>
  <c r="N90" i="4"/>
  <c r="O90" i="4" s="1"/>
  <c r="P90" i="4" s="1"/>
  <c r="L90" i="4"/>
  <c r="H90" i="4"/>
  <c r="I90" i="4" s="1"/>
  <c r="G90" i="4"/>
  <c r="K90" i="4" s="1"/>
  <c r="E90" i="4"/>
  <c r="L89" i="4"/>
  <c r="I89" i="4"/>
  <c r="H89" i="4"/>
  <c r="G89" i="4"/>
  <c r="M89" i="4" s="1"/>
  <c r="E89" i="4"/>
  <c r="L88" i="4"/>
  <c r="I88" i="4"/>
  <c r="H88" i="4"/>
  <c r="G88" i="4"/>
  <c r="K88" i="4" s="1"/>
  <c r="E88" i="4"/>
  <c r="N87" i="4"/>
  <c r="O87" i="4" s="1"/>
  <c r="P87" i="4" s="1"/>
  <c r="L87" i="4"/>
  <c r="K87" i="4"/>
  <c r="I87" i="4"/>
  <c r="H87" i="4"/>
  <c r="G87" i="4"/>
  <c r="M87" i="4" s="1"/>
  <c r="E87" i="4"/>
  <c r="N86" i="4"/>
  <c r="O86" i="4" s="1"/>
  <c r="P86" i="4" s="1"/>
  <c r="L86" i="4"/>
  <c r="H86" i="4"/>
  <c r="I86" i="4" s="1"/>
  <c r="G86" i="4"/>
  <c r="K86" i="4" s="1"/>
  <c r="E86" i="4"/>
  <c r="L85" i="4"/>
  <c r="I85" i="4"/>
  <c r="H85" i="4"/>
  <c r="G85" i="4"/>
  <c r="E85" i="4"/>
  <c r="L84" i="4"/>
  <c r="I84" i="4"/>
  <c r="H84" i="4"/>
  <c r="G84" i="4"/>
  <c r="E84" i="4"/>
  <c r="N83" i="4"/>
  <c r="O83" i="4" s="1"/>
  <c r="P83" i="4" s="1"/>
  <c r="L83" i="4"/>
  <c r="K83" i="4"/>
  <c r="I83" i="4"/>
  <c r="H83" i="4"/>
  <c r="G83" i="4"/>
  <c r="M83" i="4" s="1"/>
  <c r="E83" i="4"/>
  <c r="N82" i="4"/>
  <c r="O82" i="4" s="1"/>
  <c r="P82" i="4" s="1"/>
  <c r="L82" i="4"/>
  <c r="H82" i="4"/>
  <c r="I82" i="4" s="1"/>
  <c r="G82" i="4"/>
  <c r="K82" i="4" s="1"/>
  <c r="E82" i="4"/>
  <c r="L81" i="4"/>
  <c r="I81" i="4"/>
  <c r="H81" i="4"/>
  <c r="G81" i="4"/>
  <c r="M81" i="4" s="1"/>
  <c r="E81" i="4"/>
  <c r="L80" i="4"/>
  <c r="I80" i="4"/>
  <c r="H80" i="4"/>
  <c r="G80" i="4"/>
  <c r="K80" i="4" s="1"/>
  <c r="E80" i="4"/>
  <c r="N79" i="4"/>
  <c r="O79" i="4" s="1"/>
  <c r="P79" i="4" s="1"/>
  <c r="L79" i="4"/>
  <c r="K79" i="4"/>
  <c r="I79" i="4"/>
  <c r="H79" i="4"/>
  <c r="G79" i="4"/>
  <c r="M79" i="4" s="1"/>
  <c r="E79" i="4"/>
  <c r="N78" i="4"/>
  <c r="O78" i="4" s="1"/>
  <c r="P78" i="4" s="1"/>
  <c r="L78" i="4"/>
  <c r="H78" i="4"/>
  <c r="I78" i="4" s="1"/>
  <c r="G78" i="4"/>
  <c r="K78" i="4" s="1"/>
  <c r="E78" i="4"/>
  <c r="L77" i="4"/>
  <c r="I77" i="4"/>
  <c r="H77" i="4"/>
  <c r="G77" i="4"/>
  <c r="E77" i="4"/>
  <c r="L76" i="4"/>
  <c r="I76" i="4"/>
  <c r="H76" i="4"/>
  <c r="G76" i="4"/>
  <c r="E76" i="4"/>
  <c r="N75" i="4"/>
  <c r="O75" i="4" s="1"/>
  <c r="P75" i="4" s="1"/>
  <c r="L75" i="4"/>
  <c r="K75" i="4"/>
  <c r="I75" i="4"/>
  <c r="H75" i="4"/>
  <c r="G75" i="4"/>
  <c r="M75" i="4" s="1"/>
  <c r="E75" i="4"/>
  <c r="N74" i="4"/>
  <c r="O74" i="4" s="1"/>
  <c r="P74" i="4" s="1"/>
  <c r="L74" i="4"/>
  <c r="H74" i="4"/>
  <c r="I74" i="4" s="1"/>
  <c r="G74" i="4"/>
  <c r="K74" i="4" s="1"/>
  <c r="E74" i="4"/>
  <c r="L73" i="4"/>
  <c r="I73" i="4"/>
  <c r="H73" i="4"/>
  <c r="G73" i="4"/>
  <c r="M73" i="4" s="1"/>
  <c r="E73" i="4"/>
  <c r="L72" i="4"/>
  <c r="I72" i="4"/>
  <c r="H72" i="4"/>
  <c r="G72" i="4"/>
  <c r="K72" i="4" s="1"/>
  <c r="E72" i="4"/>
  <c r="P71" i="4"/>
  <c r="N71" i="4"/>
  <c r="O71" i="4" s="1"/>
  <c r="L71" i="4"/>
  <c r="K71" i="4"/>
  <c r="I71" i="4"/>
  <c r="H71" i="4"/>
  <c r="G71" i="4"/>
  <c r="M71" i="4" s="1"/>
  <c r="E71" i="4"/>
  <c r="N70" i="4"/>
  <c r="O70" i="4" s="1"/>
  <c r="P70" i="4" s="1"/>
  <c r="L70" i="4"/>
  <c r="H70" i="4"/>
  <c r="I70" i="4" s="1"/>
  <c r="G70" i="4"/>
  <c r="K70" i="4" s="1"/>
  <c r="E70" i="4"/>
  <c r="L69" i="4"/>
  <c r="I69" i="4"/>
  <c r="H69" i="4"/>
  <c r="G69" i="4"/>
  <c r="E69" i="4"/>
  <c r="L68" i="4"/>
  <c r="I68" i="4"/>
  <c r="H68" i="4"/>
  <c r="G68" i="4"/>
  <c r="E68" i="4"/>
  <c r="N67" i="4"/>
  <c r="O67" i="4" s="1"/>
  <c r="P67" i="4" s="1"/>
  <c r="L67" i="4"/>
  <c r="K67" i="4"/>
  <c r="I67" i="4"/>
  <c r="H67" i="4"/>
  <c r="G67" i="4"/>
  <c r="M67" i="4" s="1"/>
  <c r="E67" i="4"/>
  <c r="N66" i="4"/>
  <c r="O66" i="4" s="1"/>
  <c r="P66" i="4" s="1"/>
  <c r="L66" i="4"/>
  <c r="H66" i="4"/>
  <c r="I66" i="4" s="1"/>
  <c r="G66" i="4"/>
  <c r="K66" i="4" s="1"/>
  <c r="E66" i="4"/>
  <c r="L65" i="4"/>
  <c r="I65" i="4"/>
  <c r="H65" i="4"/>
  <c r="G65" i="4"/>
  <c r="M65" i="4" s="1"/>
  <c r="E65" i="4"/>
  <c r="L64" i="4"/>
  <c r="I64" i="4"/>
  <c r="H64" i="4"/>
  <c r="G64" i="4"/>
  <c r="K64" i="4" s="1"/>
  <c r="E64" i="4"/>
  <c r="P63" i="4"/>
  <c r="N63" i="4"/>
  <c r="O63" i="4" s="1"/>
  <c r="L63" i="4"/>
  <c r="K63" i="4"/>
  <c r="H63" i="4"/>
  <c r="I63" i="4" s="1"/>
  <c r="G63" i="4"/>
  <c r="M63" i="4" s="1"/>
  <c r="E63" i="4"/>
  <c r="M62" i="4"/>
  <c r="L62" i="4"/>
  <c r="K62" i="4"/>
  <c r="H62" i="4"/>
  <c r="I62" i="4" s="1"/>
  <c r="G62" i="4"/>
  <c r="N62" i="4" s="1"/>
  <c r="O62" i="4" s="1"/>
  <c r="P62" i="4" s="1"/>
  <c r="E62" i="4"/>
  <c r="O61" i="4"/>
  <c r="P61" i="4" s="1"/>
  <c r="M61" i="4"/>
  <c r="L61" i="4"/>
  <c r="K61" i="4"/>
  <c r="H61" i="4"/>
  <c r="I61" i="4" s="1"/>
  <c r="G61" i="4"/>
  <c r="N61" i="4" s="1"/>
  <c r="E61" i="4"/>
  <c r="M60" i="4"/>
  <c r="L60" i="4"/>
  <c r="K60" i="4"/>
  <c r="H60" i="4"/>
  <c r="I60" i="4" s="1"/>
  <c r="G60" i="4"/>
  <c r="N60" i="4" s="1"/>
  <c r="O60" i="4" s="1"/>
  <c r="P60" i="4" s="1"/>
  <c r="E60" i="4"/>
  <c r="M59" i="4"/>
  <c r="L59" i="4"/>
  <c r="K59" i="4"/>
  <c r="H59" i="4"/>
  <c r="I59" i="4" s="1"/>
  <c r="G59" i="4"/>
  <c r="N59" i="4" s="1"/>
  <c r="O59" i="4" s="1"/>
  <c r="P59" i="4" s="1"/>
  <c r="E59" i="4"/>
  <c r="M58" i="4"/>
  <c r="L58" i="4"/>
  <c r="K58" i="4"/>
  <c r="H58" i="4"/>
  <c r="I58" i="4" s="1"/>
  <c r="G58" i="4"/>
  <c r="N58" i="4" s="1"/>
  <c r="O58" i="4" s="1"/>
  <c r="P58" i="4" s="1"/>
  <c r="E58" i="4"/>
  <c r="M57" i="4"/>
  <c r="L57" i="4"/>
  <c r="K57" i="4"/>
  <c r="H57" i="4"/>
  <c r="I57" i="4" s="1"/>
  <c r="G57" i="4"/>
  <c r="N57" i="4" s="1"/>
  <c r="O57" i="4" s="1"/>
  <c r="P57" i="4" s="1"/>
  <c r="E57" i="4"/>
  <c r="M56" i="4"/>
  <c r="L56" i="4"/>
  <c r="K56" i="4"/>
  <c r="H56" i="4"/>
  <c r="I56" i="4" s="1"/>
  <c r="G56" i="4"/>
  <c r="N56" i="4" s="1"/>
  <c r="O56" i="4" s="1"/>
  <c r="P56" i="4" s="1"/>
  <c r="E56" i="4"/>
  <c r="O55" i="4"/>
  <c r="P55" i="4" s="1"/>
  <c r="M55" i="4"/>
  <c r="L55" i="4"/>
  <c r="K55" i="4"/>
  <c r="H55" i="4"/>
  <c r="I55" i="4" s="1"/>
  <c r="G55" i="4"/>
  <c r="N55" i="4" s="1"/>
  <c r="E55" i="4"/>
  <c r="M54" i="4"/>
  <c r="L54" i="4"/>
  <c r="K54" i="4"/>
  <c r="H54" i="4"/>
  <c r="I54" i="4" s="1"/>
  <c r="G54" i="4"/>
  <c r="N54" i="4" s="1"/>
  <c r="O54" i="4" s="1"/>
  <c r="P54" i="4" s="1"/>
  <c r="E54" i="4"/>
  <c r="O53" i="4"/>
  <c r="P53" i="4" s="1"/>
  <c r="M53" i="4"/>
  <c r="L53" i="4"/>
  <c r="K53" i="4"/>
  <c r="H53" i="4"/>
  <c r="I53" i="4" s="1"/>
  <c r="G53" i="4"/>
  <c r="N53" i="4" s="1"/>
  <c r="E53" i="4"/>
  <c r="M52" i="4"/>
  <c r="L52" i="4"/>
  <c r="K52" i="4"/>
  <c r="H52" i="4"/>
  <c r="I52" i="4" s="1"/>
  <c r="G52" i="4"/>
  <c r="N52" i="4" s="1"/>
  <c r="O52" i="4" s="1"/>
  <c r="P52" i="4" s="1"/>
  <c r="E52" i="4"/>
  <c r="M51" i="4"/>
  <c r="L51" i="4"/>
  <c r="K51" i="4"/>
  <c r="H51" i="4"/>
  <c r="I51" i="4" s="1"/>
  <c r="G51" i="4"/>
  <c r="N51" i="4" s="1"/>
  <c r="O51" i="4" s="1"/>
  <c r="P51" i="4" s="1"/>
  <c r="E51" i="4"/>
  <c r="M50" i="4"/>
  <c r="L50" i="4"/>
  <c r="K50" i="4"/>
  <c r="H50" i="4"/>
  <c r="I50" i="4" s="1"/>
  <c r="G50" i="4"/>
  <c r="N50" i="4" s="1"/>
  <c r="O50" i="4" s="1"/>
  <c r="P50" i="4" s="1"/>
  <c r="E50" i="4"/>
  <c r="L49" i="4"/>
  <c r="H49" i="4"/>
  <c r="I49" i="4" s="1"/>
  <c r="G49" i="4"/>
  <c r="N49" i="4" s="1"/>
  <c r="O49" i="4" s="1"/>
  <c r="P49" i="4" s="1"/>
  <c r="E49" i="4"/>
  <c r="L48" i="4"/>
  <c r="H48" i="4"/>
  <c r="I48" i="4" s="1"/>
  <c r="G48" i="4"/>
  <c r="N48" i="4" s="1"/>
  <c r="O48" i="4" s="1"/>
  <c r="P48" i="4" s="1"/>
  <c r="E48" i="4"/>
  <c r="L47" i="4"/>
  <c r="H47" i="4"/>
  <c r="I47" i="4" s="1"/>
  <c r="G47" i="4"/>
  <c r="N47" i="4" s="1"/>
  <c r="O47" i="4" s="1"/>
  <c r="P47" i="4" s="1"/>
  <c r="E47" i="4"/>
  <c r="L46" i="4"/>
  <c r="H46" i="4"/>
  <c r="I46" i="4" s="1"/>
  <c r="G46" i="4"/>
  <c r="N46" i="4" s="1"/>
  <c r="O46" i="4" s="1"/>
  <c r="P46" i="4" s="1"/>
  <c r="E46" i="4"/>
  <c r="L45" i="4"/>
  <c r="H45" i="4"/>
  <c r="I45" i="4" s="1"/>
  <c r="G45" i="4"/>
  <c r="N45" i="4" s="1"/>
  <c r="O45" i="4" s="1"/>
  <c r="P45" i="4" s="1"/>
  <c r="E45" i="4"/>
  <c r="L44" i="4"/>
  <c r="H44" i="4"/>
  <c r="I44" i="4" s="1"/>
  <c r="G44" i="4"/>
  <c r="N44" i="4" s="1"/>
  <c r="O44" i="4" s="1"/>
  <c r="P44" i="4" s="1"/>
  <c r="E44" i="4"/>
  <c r="L43" i="4"/>
  <c r="H43" i="4"/>
  <c r="I43" i="4" s="1"/>
  <c r="G43" i="4"/>
  <c r="N43" i="4" s="1"/>
  <c r="O43" i="4" s="1"/>
  <c r="P43" i="4" s="1"/>
  <c r="E43" i="4"/>
  <c r="L42" i="4"/>
  <c r="H42" i="4"/>
  <c r="I42" i="4" s="1"/>
  <c r="E42" i="4"/>
  <c r="G42" i="4" s="1"/>
  <c r="M42" i="4" s="1"/>
  <c r="L41" i="4"/>
  <c r="I41" i="4"/>
  <c r="H41" i="4"/>
  <c r="G41" i="4"/>
  <c r="M41" i="4" s="1"/>
  <c r="E41" i="4"/>
  <c r="L40" i="4"/>
  <c r="H40" i="4"/>
  <c r="I40" i="4" s="1"/>
  <c r="G40" i="4"/>
  <c r="E40" i="4"/>
  <c r="L39" i="4"/>
  <c r="I39" i="4"/>
  <c r="K39" i="4" s="1"/>
  <c r="H39" i="4"/>
  <c r="E39" i="4"/>
  <c r="G39" i="4" s="1"/>
  <c r="M39" i="4" s="1"/>
  <c r="L38" i="4"/>
  <c r="H38" i="4"/>
  <c r="I38" i="4" s="1"/>
  <c r="K38" i="4" s="1"/>
  <c r="G38" i="4"/>
  <c r="E38" i="4"/>
  <c r="L37" i="4"/>
  <c r="I37" i="4"/>
  <c r="H37" i="4"/>
  <c r="E37" i="4"/>
  <c r="G37" i="4" s="1"/>
  <c r="L36" i="4"/>
  <c r="H36" i="4"/>
  <c r="I36" i="4" s="1"/>
  <c r="G36" i="4"/>
  <c r="E36" i="4"/>
  <c r="L35" i="4"/>
  <c r="I35" i="4"/>
  <c r="H35" i="4"/>
  <c r="E35" i="4"/>
  <c r="G35" i="4" s="1"/>
  <c r="L34" i="4"/>
  <c r="H34" i="4"/>
  <c r="I34" i="4" s="1"/>
  <c r="G34" i="4"/>
  <c r="E34" i="4"/>
  <c r="L33" i="4"/>
  <c r="I33" i="4"/>
  <c r="H33" i="4"/>
  <c r="E33" i="4"/>
  <c r="G33" i="4" s="1"/>
  <c r="L32" i="4"/>
  <c r="H32" i="4"/>
  <c r="I32" i="4" s="1"/>
  <c r="G32" i="4"/>
  <c r="E32" i="4"/>
  <c r="L31" i="4"/>
  <c r="H31" i="4"/>
  <c r="G31" i="4"/>
  <c r="K31" i="4" s="1"/>
  <c r="L30" i="4"/>
  <c r="H30" i="4"/>
  <c r="G30" i="4"/>
  <c r="K30" i="4" s="1"/>
  <c r="M29" i="4"/>
  <c r="L29" i="4"/>
  <c r="I29" i="4"/>
  <c r="K29" i="4" s="1"/>
  <c r="H29" i="4"/>
  <c r="G29" i="4"/>
  <c r="L28" i="4"/>
  <c r="I28" i="4"/>
  <c r="H28" i="4"/>
  <c r="E28" i="4"/>
  <c r="G28" i="4" s="1"/>
  <c r="L27" i="4"/>
  <c r="H27" i="4"/>
  <c r="G27" i="4"/>
  <c r="K27" i="4" s="1"/>
  <c r="E27" i="4"/>
  <c r="L26" i="4"/>
  <c r="I26" i="4"/>
  <c r="H26" i="4"/>
  <c r="E26" i="4"/>
  <c r="G26" i="4" s="1"/>
  <c r="L25" i="4"/>
  <c r="H25" i="4"/>
  <c r="I25" i="4" s="1"/>
  <c r="G25" i="4"/>
  <c r="E25" i="4"/>
  <c r="L24" i="4"/>
  <c r="H24" i="4"/>
  <c r="G24" i="4"/>
  <c r="K24" i="4" s="1"/>
  <c r="E24" i="4"/>
  <c r="L23" i="4"/>
  <c r="I23" i="4"/>
  <c r="H23" i="4"/>
  <c r="E23" i="4"/>
  <c r="G23" i="4" s="1"/>
  <c r="L22" i="4"/>
  <c r="H22" i="4"/>
  <c r="G22" i="4"/>
  <c r="K22" i="4" s="1"/>
  <c r="E22" i="4"/>
  <c r="L21" i="4"/>
  <c r="H21" i="4"/>
  <c r="G21" i="4"/>
  <c r="K21" i="4" s="1"/>
  <c r="L20" i="4"/>
  <c r="H20" i="4"/>
  <c r="G20" i="4"/>
  <c r="K20" i="4" s="1"/>
  <c r="L19" i="4"/>
  <c r="I19" i="4"/>
  <c r="H19" i="4"/>
  <c r="E19" i="4"/>
  <c r="G19" i="4" s="1"/>
  <c r="L18" i="4"/>
  <c r="H18" i="4"/>
  <c r="I18" i="4" s="1"/>
  <c r="G18" i="4"/>
  <c r="E18" i="4"/>
  <c r="L17" i="4"/>
  <c r="H17" i="4"/>
  <c r="G17" i="4"/>
  <c r="K17" i="4" s="1"/>
  <c r="E17" i="4"/>
  <c r="L16" i="4"/>
  <c r="I16" i="4"/>
  <c r="H16" i="4"/>
  <c r="E16" i="4"/>
  <c r="G16" i="4" s="1"/>
  <c r="L15" i="4"/>
  <c r="H15" i="4"/>
  <c r="G15" i="4"/>
  <c r="K15" i="4" s="1"/>
  <c r="E15" i="4"/>
  <c r="L14" i="4"/>
  <c r="H14" i="4"/>
  <c r="G14" i="4"/>
  <c r="K14" i="4" s="1"/>
  <c r="L13" i="4"/>
  <c r="H13" i="4"/>
  <c r="G13" i="4"/>
  <c r="K13" i="4" s="1"/>
  <c r="E13" i="4"/>
  <c r="L12" i="4"/>
  <c r="K12" i="4"/>
  <c r="H12" i="4"/>
  <c r="E12" i="4"/>
  <c r="G12" i="4" s="1"/>
  <c r="L11" i="4"/>
  <c r="H11" i="4"/>
  <c r="E11" i="4"/>
  <c r="G11" i="4" s="1"/>
  <c r="M10" i="4"/>
  <c r="L10" i="4"/>
  <c r="H10" i="4"/>
  <c r="G10" i="4"/>
  <c r="L9" i="4"/>
  <c r="H9" i="4"/>
  <c r="I9" i="4" s="1"/>
  <c r="G9" i="4"/>
  <c r="E9" i="4"/>
  <c r="L8" i="4"/>
  <c r="I8" i="4"/>
  <c r="H8" i="4"/>
  <c r="E8" i="4"/>
  <c r="G8" i="4" s="1"/>
  <c r="L7" i="4"/>
  <c r="H7" i="4"/>
  <c r="I7" i="4" s="1"/>
  <c r="G7" i="4"/>
  <c r="E7" i="4"/>
  <c r="M6" i="4"/>
  <c r="L6" i="4"/>
  <c r="H6" i="4"/>
  <c r="I6" i="4" s="1"/>
  <c r="G6" i="4"/>
  <c r="E6" i="4"/>
  <c r="K232" i="3"/>
  <c r="J232" i="3"/>
  <c r="L232" i="3" s="1"/>
  <c r="M232" i="3" s="1"/>
  <c r="N232" i="3" s="1"/>
  <c r="O232" i="3" s="1"/>
  <c r="I232" i="3"/>
  <c r="H232" i="3"/>
  <c r="N231" i="3"/>
  <c r="O231" i="3" s="1"/>
  <c r="M231" i="3"/>
  <c r="K231" i="3"/>
  <c r="J231" i="3"/>
  <c r="L231" i="3" s="1"/>
  <c r="I231" i="3"/>
  <c r="H231" i="3"/>
  <c r="K230" i="3"/>
  <c r="J230" i="3"/>
  <c r="I230" i="3"/>
  <c r="H230" i="3"/>
  <c r="K229" i="3"/>
  <c r="J229" i="3"/>
  <c r="I229" i="3"/>
  <c r="H229" i="3"/>
  <c r="K228" i="3"/>
  <c r="J228" i="3"/>
  <c r="L228" i="3" s="1"/>
  <c r="M228" i="3" s="1"/>
  <c r="N228" i="3" s="1"/>
  <c r="O228" i="3" s="1"/>
  <c r="I228" i="3"/>
  <c r="H228" i="3"/>
  <c r="K227" i="3"/>
  <c r="J227" i="3"/>
  <c r="I227" i="3"/>
  <c r="H227" i="3"/>
  <c r="K226" i="3"/>
  <c r="J226" i="3"/>
  <c r="I226" i="3"/>
  <c r="H226" i="3"/>
  <c r="K225" i="3"/>
  <c r="J225" i="3"/>
  <c r="I225" i="3"/>
  <c r="H225" i="3"/>
  <c r="K224" i="3"/>
  <c r="J224" i="3"/>
  <c r="L224" i="3" s="1"/>
  <c r="M224" i="3" s="1"/>
  <c r="N224" i="3" s="1"/>
  <c r="O224" i="3" s="1"/>
  <c r="I224" i="3"/>
  <c r="H224" i="3"/>
  <c r="K223" i="3"/>
  <c r="J223" i="3"/>
  <c r="I223" i="3"/>
  <c r="H223" i="3"/>
  <c r="K222" i="3"/>
  <c r="J222" i="3"/>
  <c r="I222" i="3"/>
  <c r="H222" i="3"/>
  <c r="K221" i="3"/>
  <c r="J221" i="3"/>
  <c r="I221" i="3"/>
  <c r="H221" i="3"/>
  <c r="K220" i="3"/>
  <c r="J220" i="3"/>
  <c r="L220" i="3" s="1"/>
  <c r="M220" i="3" s="1"/>
  <c r="N220" i="3" s="1"/>
  <c r="O220" i="3" s="1"/>
  <c r="I220" i="3"/>
  <c r="H220" i="3"/>
  <c r="K219" i="3"/>
  <c r="J219" i="3"/>
  <c r="I219" i="3"/>
  <c r="H219" i="3"/>
  <c r="K218" i="3"/>
  <c r="J218" i="3"/>
  <c r="I218" i="3"/>
  <c r="H218" i="3"/>
  <c r="K217" i="3"/>
  <c r="J217" i="3"/>
  <c r="I217" i="3"/>
  <c r="H217" i="3"/>
  <c r="O216" i="3"/>
  <c r="K216" i="3"/>
  <c r="J216" i="3"/>
  <c r="L216" i="3" s="1"/>
  <c r="M216" i="3" s="1"/>
  <c r="N216" i="3" s="1"/>
  <c r="I216" i="3"/>
  <c r="H216" i="3"/>
  <c r="K215" i="3"/>
  <c r="J215" i="3"/>
  <c r="I215" i="3"/>
  <c r="H215" i="3"/>
  <c r="K214" i="3"/>
  <c r="J214" i="3"/>
  <c r="I214" i="3"/>
  <c r="H214" i="3"/>
  <c r="K213" i="3"/>
  <c r="J213" i="3"/>
  <c r="I213" i="3"/>
  <c r="H213" i="3"/>
  <c r="K212" i="3"/>
  <c r="J212" i="3"/>
  <c r="L212" i="3" s="1"/>
  <c r="M212" i="3" s="1"/>
  <c r="N212" i="3" s="1"/>
  <c r="O212" i="3" s="1"/>
  <c r="I212" i="3"/>
  <c r="H212" i="3"/>
  <c r="K211" i="3"/>
  <c r="J211" i="3"/>
  <c r="L211" i="3" s="1"/>
  <c r="I211" i="3"/>
  <c r="H211" i="3"/>
  <c r="M211" i="3" s="1"/>
  <c r="N211" i="3" s="1"/>
  <c r="O211" i="3" s="1"/>
  <c r="M210" i="3"/>
  <c r="N210" i="3" s="1"/>
  <c r="O210" i="3" s="1"/>
  <c r="L210" i="3"/>
  <c r="K210" i="3"/>
  <c r="J210" i="3"/>
  <c r="I210" i="3"/>
  <c r="H210" i="3"/>
  <c r="M209" i="3"/>
  <c r="N209" i="3" s="1"/>
  <c r="O209" i="3" s="1"/>
  <c r="L209" i="3"/>
  <c r="K209" i="3"/>
  <c r="J209" i="3"/>
  <c r="I209" i="3"/>
  <c r="H209" i="3"/>
  <c r="M208" i="3"/>
  <c r="N208" i="3" s="1"/>
  <c r="O208" i="3" s="1"/>
  <c r="L208" i="3"/>
  <c r="K208" i="3"/>
  <c r="J208" i="3"/>
  <c r="I208" i="3"/>
  <c r="H208" i="3"/>
  <c r="K207" i="3"/>
  <c r="J207" i="3"/>
  <c r="L207" i="3" s="1"/>
  <c r="M207" i="3" s="1"/>
  <c r="N207" i="3" s="1"/>
  <c r="O207" i="3" s="1"/>
  <c r="I207" i="3"/>
  <c r="H207" i="3"/>
  <c r="M206" i="3"/>
  <c r="N206" i="3" s="1"/>
  <c r="O206" i="3" s="1"/>
  <c r="K206" i="3"/>
  <c r="J206" i="3"/>
  <c r="L206" i="3" s="1"/>
  <c r="I206" i="3"/>
  <c r="H206" i="3"/>
  <c r="M205" i="3"/>
  <c r="N205" i="3" s="1"/>
  <c r="O205" i="3" s="1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K203" i="3"/>
  <c r="J203" i="3"/>
  <c r="L203" i="3" s="1"/>
  <c r="M203" i="3" s="1"/>
  <c r="N203" i="3" s="1"/>
  <c r="O203" i="3" s="1"/>
  <c r="I203" i="3"/>
  <c r="H203" i="3"/>
  <c r="M202" i="3"/>
  <c r="N202" i="3" s="1"/>
  <c r="O202" i="3" s="1"/>
  <c r="K202" i="3"/>
  <c r="J202" i="3"/>
  <c r="L202" i="3" s="1"/>
  <c r="I202" i="3"/>
  <c r="H202" i="3"/>
  <c r="M201" i="3"/>
  <c r="N201" i="3" s="1"/>
  <c r="O201" i="3" s="1"/>
  <c r="K201" i="3"/>
  <c r="J201" i="3"/>
  <c r="L201" i="3" s="1"/>
  <c r="I201" i="3"/>
  <c r="H201" i="3"/>
  <c r="K200" i="3"/>
  <c r="J200" i="3"/>
  <c r="L200" i="3" s="1"/>
  <c r="M200" i="3" s="1"/>
  <c r="N200" i="3" s="1"/>
  <c r="O200" i="3" s="1"/>
  <c r="I200" i="3"/>
  <c r="H200" i="3"/>
  <c r="K199" i="3"/>
  <c r="J199" i="3"/>
  <c r="L199" i="3" s="1"/>
  <c r="M199" i="3" s="1"/>
  <c r="N199" i="3" s="1"/>
  <c r="O199" i="3" s="1"/>
  <c r="I199" i="3"/>
  <c r="H199" i="3"/>
  <c r="M198" i="3"/>
  <c r="N198" i="3" s="1"/>
  <c r="O198" i="3" s="1"/>
  <c r="K198" i="3"/>
  <c r="J198" i="3"/>
  <c r="L198" i="3" s="1"/>
  <c r="I198" i="3"/>
  <c r="H198" i="3"/>
  <c r="M197" i="3"/>
  <c r="N197" i="3" s="1"/>
  <c r="O197" i="3" s="1"/>
  <c r="K197" i="3"/>
  <c r="J197" i="3"/>
  <c r="L197" i="3" s="1"/>
  <c r="I197" i="3"/>
  <c r="H197" i="3"/>
  <c r="K196" i="3"/>
  <c r="J196" i="3"/>
  <c r="L196" i="3" s="1"/>
  <c r="M196" i="3" s="1"/>
  <c r="N196" i="3" s="1"/>
  <c r="O196" i="3" s="1"/>
  <c r="I196" i="3"/>
  <c r="H196" i="3"/>
  <c r="K195" i="3"/>
  <c r="J195" i="3"/>
  <c r="L195" i="3" s="1"/>
  <c r="M195" i="3" s="1"/>
  <c r="N195" i="3" s="1"/>
  <c r="O195" i="3" s="1"/>
  <c r="I195" i="3"/>
  <c r="H195" i="3"/>
  <c r="M194" i="3"/>
  <c r="N194" i="3" s="1"/>
  <c r="O194" i="3" s="1"/>
  <c r="K194" i="3"/>
  <c r="J194" i="3"/>
  <c r="L194" i="3" s="1"/>
  <c r="I194" i="3"/>
  <c r="H194" i="3"/>
  <c r="M193" i="3"/>
  <c r="N193" i="3" s="1"/>
  <c r="O193" i="3" s="1"/>
  <c r="K193" i="3"/>
  <c r="J193" i="3"/>
  <c r="L193" i="3" s="1"/>
  <c r="I193" i="3"/>
  <c r="H193" i="3"/>
  <c r="K192" i="3"/>
  <c r="J192" i="3"/>
  <c r="L192" i="3" s="1"/>
  <c r="M192" i="3" s="1"/>
  <c r="N192" i="3" s="1"/>
  <c r="O192" i="3" s="1"/>
  <c r="I192" i="3"/>
  <c r="H192" i="3"/>
  <c r="K191" i="3"/>
  <c r="J191" i="3"/>
  <c r="L191" i="3" s="1"/>
  <c r="M191" i="3" s="1"/>
  <c r="N191" i="3" s="1"/>
  <c r="O191" i="3" s="1"/>
  <c r="I191" i="3"/>
  <c r="H191" i="3"/>
  <c r="M190" i="3"/>
  <c r="N190" i="3" s="1"/>
  <c r="O190" i="3" s="1"/>
  <c r="K190" i="3"/>
  <c r="J190" i="3"/>
  <c r="L190" i="3" s="1"/>
  <c r="I190" i="3"/>
  <c r="H190" i="3"/>
  <c r="M189" i="3"/>
  <c r="N189" i="3" s="1"/>
  <c r="O189" i="3" s="1"/>
  <c r="K189" i="3"/>
  <c r="J189" i="3"/>
  <c r="L189" i="3" s="1"/>
  <c r="I189" i="3"/>
  <c r="H189" i="3"/>
  <c r="K188" i="3"/>
  <c r="J188" i="3"/>
  <c r="L188" i="3" s="1"/>
  <c r="M188" i="3" s="1"/>
  <c r="N188" i="3" s="1"/>
  <c r="O188" i="3" s="1"/>
  <c r="I188" i="3"/>
  <c r="H188" i="3"/>
  <c r="K187" i="3"/>
  <c r="J187" i="3"/>
  <c r="L187" i="3" s="1"/>
  <c r="M187" i="3" s="1"/>
  <c r="N187" i="3" s="1"/>
  <c r="O187" i="3" s="1"/>
  <c r="I187" i="3"/>
  <c r="H187" i="3"/>
  <c r="K186" i="3"/>
  <c r="J186" i="3"/>
  <c r="L186" i="3" s="1"/>
  <c r="M186" i="3" s="1"/>
  <c r="N186" i="3" s="1"/>
  <c r="O186" i="3" s="1"/>
  <c r="I186" i="3"/>
  <c r="H186" i="3"/>
  <c r="M185" i="3"/>
  <c r="N185" i="3" s="1"/>
  <c r="O185" i="3" s="1"/>
  <c r="K185" i="3"/>
  <c r="J185" i="3"/>
  <c r="L185" i="3" s="1"/>
  <c r="I185" i="3"/>
  <c r="H185" i="3"/>
  <c r="K184" i="3"/>
  <c r="J184" i="3"/>
  <c r="I184" i="3"/>
  <c r="H184" i="3"/>
  <c r="K183" i="3"/>
  <c r="J183" i="3"/>
  <c r="L183" i="3" s="1"/>
  <c r="M183" i="3" s="1"/>
  <c r="N183" i="3" s="1"/>
  <c r="O183" i="3" s="1"/>
  <c r="I183" i="3"/>
  <c r="H183" i="3"/>
  <c r="K182" i="3"/>
  <c r="J182" i="3"/>
  <c r="L182" i="3" s="1"/>
  <c r="M182" i="3" s="1"/>
  <c r="N182" i="3" s="1"/>
  <c r="O182" i="3" s="1"/>
  <c r="I182" i="3"/>
  <c r="H182" i="3"/>
  <c r="M181" i="3"/>
  <c r="N181" i="3" s="1"/>
  <c r="O181" i="3" s="1"/>
  <c r="K181" i="3"/>
  <c r="J181" i="3"/>
  <c r="L181" i="3" s="1"/>
  <c r="I181" i="3"/>
  <c r="H181" i="3"/>
  <c r="K180" i="3"/>
  <c r="J180" i="3"/>
  <c r="I180" i="3"/>
  <c r="H180" i="3"/>
  <c r="K179" i="3"/>
  <c r="J179" i="3"/>
  <c r="L179" i="3" s="1"/>
  <c r="M179" i="3" s="1"/>
  <c r="N179" i="3" s="1"/>
  <c r="O179" i="3" s="1"/>
  <c r="I179" i="3"/>
  <c r="H179" i="3"/>
  <c r="K178" i="3"/>
  <c r="J178" i="3"/>
  <c r="L178" i="3" s="1"/>
  <c r="M178" i="3" s="1"/>
  <c r="N178" i="3" s="1"/>
  <c r="O178" i="3" s="1"/>
  <c r="I178" i="3"/>
  <c r="H178" i="3"/>
  <c r="M177" i="3"/>
  <c r="N177" i="3" s="1"/>
  <c r="O177" i="3" s="1"/>
  <c r="K177" i="3"/>
  <c r="J177" i="3"/>
  <c r="L177" i="3" s="1"/>
  <c r="I177" i="3"/>
  <c r="H177" i="3"/>
  <c r="K176" i="3"/>
  <c r="J176" i="3"/>
  <c r="I176" i="3"/>
  <c r="H176" i="3"/>
  <c r="K175" i="3"/>
  <c r="J175" i="3"/>
  <c r="L175" i="3" s="1"/>
  <c r="M175" i="3" s="1"/>
  <c r="N175" i="3" s="1"/>
  <c r="O175" i="3" s="1"/>
  <c r="I175" i="3"/>
  <c r="H175" i="3"/>
  <c r="K174" i="3"/>
  <c r="J174" i="3"/>
  <c r="L174" i="3" s="1"/>
  <c r="M174" i="3" s="1"/>
  <c r="N174" i="3" s="1"/>
  <c r="O174" i="3" s="1"/>
  <c r="I174" i="3"/>
  <c r="H174" i="3"/>
  <c r="M173" i="3"/>
  <c r="N173" i="3" s="1"/>
  <c r="O173" i="3" s="1"/>
  <c r="K173" i="3"/>
  <c r="J173" i="3"/>
  <c r="L173" i="3" s="1"/>
  <c r="I173" i="3"/>
  <c r="H173" i="3"/>
  <c r="K172" i="3"/>
  <c r="J172" i="3"/>
  <c r="I172" i="3"/>
  <c r="H172" i="3"/>
  <c r="K171" i="3"/>
  <c r="J171" i="3"/>
  <c r="L171" i="3" s="1"/>
  <c r="M171" i="3" s="1"/>
  <c r="N171" i="3" s="1"/>
  <c r="O171" i="3" s="1"/>
  <c r="I171" i="3"/>
  <c r="H171" i="3"/>
  <c r="K170" i="3"/>
  <c r="J170" i="3"/>
  <c r="L170" i="3" s="1"/>
  <c r="M170" i="3" s="1"/>
  <c r="N170" i="3" s="1"/>
  <c r="O170" i="3" s="1"/>
  <c r="I170" i="3"/>
  <c r="H170" i="3"/>
  <c r="M169" i="3"/>
  <c r="N169" i="3" s="1"/>
  <c r="O169" i="3" s="1"/>
  <c r="K169" i="3"/>
  <c r="J169" i="3"/>
  <c r="L169" i="3" s="1"/>
  <c r="I169" i="3"/>
  <c r="H169" i="3"/>
  <c r="K168" i="3"/>
  <c r="J168" i="3"/>
  <c r="I168" i="3"/>
  <c r="H168" i="3"/>
  <c r="K167" i="3"/>
  <c r="J167" i="3"/>
  <c r="L167" i="3" s="1"/>
  <c r="M167" i="3" s="1"/>
  <c r="N167" i="3" s="1"/>
  <c r="O167" i="3" s="1"/>
  <c r="I167" i="3"/>
  <c r="H167" i="3"/>
  <c r="K166" i="3"/>
  <c r="J166" i="3"/>
  <c r="L166" i="3" s="1"/>
  <c r="M166" i="3" s="1"/>
  <c r="N166" i="3" s="1"/>
  <c r="O166" i="3" s="1"/>
  <c r="I166" i="3"/>
  <c r="H166" i="3"/>
  <c r="M165" i="3"/>
  <c r="N165" i="3" s="1"/>
  <c r="O165" i="3" s="1"/>
  <c r="K165" i="3"/>
  <c r="J165" i="3"/>
  <c r="L165" i="3" s="1"/>
  <c r="I165" i="3"/>
  <c r="H165" i="3"/>
  <c r="K164" i="3"/>
  <c r="J164" i="3"/>
  <c r="I164" i="3"/>
  <c r="H164" i="3"/>
  <c r="K163" i="3"/>
  <c r="J163" i="3"/>
  <c r="L163" i="3" s="1"/>
  <c r="M163" i="3" s="1"/>
  <c r="N163" i="3" s="1"/>
  <c r="O163" i="3" s="1"/>
  <c r="I163" i="3"/>
  <c r="H163" i="3"/>
  <c r="K162" i="3"/>
  <c r="J162" i="3"/>
  <c r="L162" i="3" s="1"/>
  <c r="M162" i="3" s="1"/>
  <c r="N162" i="3" s="1"/>
  <c r="O162" i="3" s="1"/>
  <c r="I162" i="3"/>
  <c r="H162" i="3"/>
  <c r="M161" i="3"/>
  <c r="N161" i="3" s="1"/>
  <c r="O161" i="3" s="1"/>
  <c r="K161" i="3"/>
  <c r="J161" i="3"/>
  <c r="L161" i="3" s="1"/>
  <c r="I161" i="3"/>
  <c r="H161" i="3"/>
  <c r="K160" i="3"/>
  <c r="J160" i="3"/>
  <c r="I160" i="3"/>
  <c r="H160" i="3"/>
  <c r="K159" i="3"/>
  <c r="J159" i="3"/>
  <c r="L159" i="3" s="1"/>
  <c r="M159" i="3" s="1"/>
  <c r="N159" i="3" s="1"/>
  <c r="O159" i="3" s="1"/>
  <c r="I159" i="3"/>
  <c r="H159" i="3"/>
  <c r="K158" i="3"/>
  <c r="J158" i="3"/>
  <c r="L158" i="3" s="1"/>
  <c r="M158" i="3" s="1"/>
  <c r="N158" i="3" s="1"/>
  <c r="O158" i="3" s="1"/>
  <c r="I158" i="3"/>
  <c r="H158" i="3"/>
  <c r="M157" i="3"/>
  <c r="N157" i="3" s="1"/>
  <c r="O157" i="3" s="1"/>
  <c r="K157" i="3"/>
  <c r="J157" i="3"/>
  <c r="L157" i="3" s="1"/>
  <c r="I157" i="3"/>
  <c r="H157" i="3"/>
  <c r="K156" i="3"/>
  <c r="J156" i="3"/>
  <c r="I156" i="3"/>
  <c r="H156" i="3"/>
  <c r="K155" i="3"/>
  <c r="J155" i="3"/>
  <c r="L155" i="3" s="1"/>
  <c r="M155" i="3" s="1"/>
  <c r="N155" i="3" s="1"/>
  <c r="O155" i="3" s="1"/>
  <c r="I155" i="3"/>
  <c r="H155" i="3"/>
  <c r="K154" i="3"/>
  <c r="J154" i="3"/>
  <c r="L154" i="3" s="1"/>
  <c r="M154" i="3" s="1"/>
  <c r="N154" i="3" s="1"/>
  <c r="O154" i="3" s="1"/>
  <c r="I154" i="3"/>
  <c r="H154" i="3"/>
  <c r="M153" i="3"/>
  <c r="N153" i="3" s="1"/>
  <c r="O153" i="3" s="1"/>
  <c r="K153" i="3"/>
  <c r="J153" i="3"/>
  <c r="L153" i="3" s="1"/>
  <c r="I153" i="3"/>
  <c r="H153" i="3"/>
  <c r="K152" i="3"/>
  <c r="J152" i="3"/>
  <c r="I152" i="3"/>
  <c r="H152" i="3"/>
  <c r="K151" i="3"/>
  <c r="J151" i="3"/>
  <c r="L151" i="3" s="1"/>
  <c r="M151" i="3" s="1"/>
  <c r="N151" i="3" s="1"/>
  <c r="O151" i="3" s="1"/>
  <c r="I151" i="3"/>
  <c r="H151" i="3"/>
  <c r="K150" i="3"/>
  <c r="J150" i="3"/>
  <c r="L150" i="3" s="1"/>
  <c r="M150" i="3" s="1"/>
  <c r="N150" i="3" s="1"/>
  <c r="O150" i="3" s="1"/>
  <c r="I150" i="3"/>
  <c r="H150" i="3"/>
  <c r="M149" i="3"/>
  <c r="N149" i="3" s="1"/>
  <c r="O149" i="3" s="1"/>
  <c r="K149" i="3"/>
  <c r="J149" i="3"/>
  <c r="L149" i="3" s="1"/>
  <c r="I149" i="3"/>
  <c r="H149" i="3"/>
  <c r="K148" i="3"/>
  <c r="J148" i="3"/>
  <c r="I148" i="3"/>
  <c r="H148" i="3"/>
  <c r="K147" i="3"/>
  <c r="J147" i="3"/>
  <c r="L147" i="3" s="1"/>
  <c r="M147" i="3" s="1"/>
  <c r="N147" i="3" s="1"/>
  <c r="O147" i="3" s="1"/>
  <c r="I147" i="3"/>
  <c r="H147" i="3"/>
  <c r="K146" i="3"/>
  <c r="J146" i="3"/>
  <c r="L146" i="3" s="1"/>
  <c r="M146" i="3" s="1"/>
  <c r="N146" i="3" s="1"/>
  <c r="O146" i="3" s="1"/>
  <c r="I146" i="3"/>
  <c r="H146" i="3"/>
  <c r="M145" i="3"/>
  <c r="N145" i="3" s="1"/>
  <c r="O145" i="3" s="1"/>
  <c r="K145" i="3"/>
  <c r="J145" i="3"/>
  <c r="L145" i="3" s="1"/>
  <c r="I145" i="3"/>
  <c r="H145" i="3"/>
  <c r="K144" i="3"/>
  <c r="J144" i="3"/>
  <c r="I144" i="3"/>
  <c r="H144" i="3"/>
  <c r="K143" i="3"/>
  <c r="J143" i="3"/>
  <c r="L143" i="3" s="1"/>
  <c r="M143" i="3" s="1"/>
  <c r="N143" i="3" s="1"/>
  <c r="O143" i="3" s="1"/>
  <c r="I143" i="3"/>
  <c r="H143" i="3"/>
  <c r="K142" i="3"/>
  <c r="J142" i="3"/>
  <c r="L142" i="3" s="1"/>
  <c r="M142" i="3" s="1"/>
  <c r="N142" i="3" s="1"/>
  <c r="O142" i="3" s="1"/>
  <c r="I142" i="3"/>
  <c r="H142" i="3"/>
  <c r="M141" i="3"/>
  <c r="N141" i="3" s="1"/>
  <c r="O141" i="3" s="1"/>
  <c r="K141" i="3"/>
  <c r="J141" i="3"/>
  <c r="L141" i="3" s="1"/>
  <c r="I141" i="3"/>
  <c r="H141" i="3"/>
  <c r="K140" i="3"/>
  <c r="J140" i="3"/>
  <c r="I140" i="3"/>
  <c r="H140" i="3"/>
  <c r="K139" i="3"/>
  <c r="J139" i="3"/>
  <c r="L139" i="3" s="1"/>
  <c r="M139" i="3" s="1"/>
  <c r="N139" i="3" s="1"/>
  <c r="O139" i="3" s="1"/>
  <c r="I139" i="3"/>
  <c r="H139" i="3"/>
  <c r="K138" i="3"/>
  <c r="J138" i="3"/>
  <c r="L138" i="3" s="1"/>
  <c r="M138" i="3" s="1"/>
  <c r="N138" i="3" s="1"/>
  <c r="O138" i="3" s="1"/>
  <c r="I138" i="3"/>
  <c r="H138" i="3"/>
  <c r="M137" i="3"/>
  <c r="N137" i="3" s="1"/>
  <c r="O137" i="3" s="1"/>
  <c r="K137" i="3"/>
  <c r="J137" i="3"/>
  <c r="L137" i="3" s="1"/>
  <c r="I137" i="3"/>
  <c r="H137" i="3"/>
  <c r="K136" i="3"/>
  <c r="J136" i="3"/>
  <c r="I136" i="3"/>
  <c r="H136" i="3"/>
  <c r="K135" i="3"/>
  <c r="J135" i="3"/>
  <c r="L135" i="3" s="1"/>
  <c r="M135" i="3" s="1"/>
  <c r="N135" i="3" s="1"/>
  <c r="O135" i="3" s="1"/>
  <c r="I135" i="3"/>
  <c r="H135" i="3"/>
  <c r="K134" i="3"/>
  <c r="J134" i="3"/>
  <c r="L134" i="3" s="1"/>
  <c r="M134" i="3" s="1"/>
  <c r="N134" i="3" s="1"/>
  <c r="O134" i="3" s="1"/>
  <c r="I134" i="3"/>
  <c r="H134" i="3"/>
  <c r="M133" i="3"/>
  <c r="N133" i="3" s="1"/>
  <c r="O133" i="3" s="1"/>
  <c r="K133" i="3"/>
  <c r="J133" i="3"/>
  <c r="L133" i="3" s="1"/>
  <c r="I133" i="3"/>
  <c r="H133" i="3"/>
  <c r="K132" i="3"/>
  <c r="J132" i="3"/>
  <c r="I132" i="3"/>
  <c r="H132" i="3"/>
  <c r="K131" i="3"/>
  <c r="J131" i="3"/>
  <c r="L131" i="3" s="1"/>
  <c r="M131" i="3" s="1"/>
  <c r="N131" i="3" s="1"/>
  <c r="O131" i="3" s="1"/>
  <c r="I131" i="3"/>
  <c r="H131" i="3"/>
  <c r="K130" i="3"/>
  <c r="J130" i="3"/>
  <c r="L130" i="3" s="1"/>
  <c r="M130" i="3" s="1"/>
  <c r="N130" i="3" s="1"/>
  <c r="O130" i="3" s="1"/>
  <c r="I130" i="3"/>
  <c r="H130" i="3"/>
  <c r="M129" i="3"/>
  <c r="N129" i="3" s="1"/>
  <c r="O129" i="3" s="1"/>
  <c r="K129" i="3"/>
  <c r="J129" i="3"/>
  <c r="L129" i="3" s="1"/>
  <c r="I129" i="3"/>
  <c r="H129" i="3"/>
  <c r="K128" i="3"/>
  <c r="J128" i="3"/>
  <c r="I128" i="3"/>
  <c r="H128" i="3"/>
  <c r="K127" i="3"/>
  <c r="J127" i="3"/>
  <c r="L127" i="3" s="1"/>
  <c r="M127" i="3" s="1"/>
  <c r="N127" i="3" s="1"/>
  <c r="O127" i="3" s="1"/>
  <c r="I127" i="3"/>
  <c r="H127" i="3"/>
  <c r="K126" i="3"/>
  <c r="J126" i="3"/>
  <c r="L126" i="3" s="1"/>
  <c r="M126" i="3" s="1"/>
  <c r="N126" i="3" s="1"/>
  <c r="O126" i="3" s="1"/>
  <c r="I126" i="3"/>
  <c r="H126" i="3"/>
  <c r="M125" i="3"/>
  <c r="N125" i="3" s="1"/>
  <c r="O125" i="3" s="1"/>
  <c r="K125" i="3"/>
  <c r="J125" i="3"/>
  <c r="L125" i="3" s="1"/>
  <c r="I125" i="3"/>
  <c r="H125" i="3"/>
  <c r="K124" i="3"/>
  <c r="J124" i="3"/>
  <c r="I124" i="3"/>
  <c r="H124" i="3"/>
  <c r="K123" i="3"/>
  <c r="J123" i="3"/>
  <c r="L123" i="3" s="1"/>
  <c r="M123" i="3" s="1"/>
  <c r="N123" i="3" s="1"/>
  <c r="O123" i="3" s="1"/>
  <c r="I123" i="3"/>
  <c r="H123" i="3"/>
  <c r="K122" i="3"/>
  <c r="J122" i="3"/>
  <c r="L122" i="3" s="1"/>
  <c r="M122" i="3" s="1"/>
  <c r="N122" i="3" s="1"/>
  <c r="O122" i="3" s="1"/>
  <c r="I122" i="3"/>
  <c r="H122" i="3"/>
  <c r="M121" i="3"/>
  <c r="N121" i="3" s="1"/>
  <c r="O121" i="3" s="1"/>
  <c r="K121" i="3"/>
  <c r="J121" i="3"/>
  <c r="L121" i="3" s="1"/>
  <c r="I121" i="3"/>
  <c r="H121" i="3"/>
  <c r="K120" i="3"/>
  <c r="J120" i="3"/>
  <c r="I120" i="3"/>
  <c r="H120" i="3"/>
  <c r="K119" i="3"/>
  <c r="J119" i="3"/>
  <c r="L119" i="3" s="1"/>
  <c r="M119" i="3" s="1"/>
  <c r="N119" i="3" s="1"/>
  <c r="O119" i="3" s="1"/>
  <c r="I119" i="3"/>
  <c r="H119" i="3"/>
  <c r="K118" i="3"/>
  <c r="J118" i="3"/>
  <c r="L118" i="3" s="1"/>
  <c r="M118" i="3" s="1"/>
  <c r="N118" i="3" s="1"/>
  <c r="O118" i="3" s="1"/>
  <c r="I118" i="3"/>
  <c r="H118" i="3"/>
  <c r="K117" i="3"/>
  <c r="J117" i="3"/>
  <c r="L117" i="3" s="1"/>
  <c r="M117" i="3" s="1"/>
  <c r="N117" i="3" s="1"/>
  <c r="O117" i="3" s="1"/>
  <c r="I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N114" i="3"/>
  <c r="O114" i="3" s="1"/>
  <c r="K114" i="3"/>
  <c r="J114" i="3"/>
  <c r="L114" i="3" s="1"/>
  <c r="M114" i="3" s="1"/>
  <c r="I114" i="3"/>
  <c r="H114" i="3"/>
  <c r="K113" i="3"/>
  <c r="J113" i="3"/>
  <c r="L113" i="3" s="1"/>
  <c r="M113" i="3" s="1"/>
  <c r="N113" i="3" s="1"/>
  <c r="O113" i="3" s="1"/>
  <c r="I113" i="3"/>
  <c r="H113" i="3"/>
  <c r="K112" i="3"/>
  <c r="J112" i="3"/>
  <c r="I112" i="3"/>
  <c r="H112" i="3"/>
  <c r="K111" i="3"/>
  <c r="J111" i="3"/>
  <c r="L111" i="3" s="1"/>
  <c r="M111" i="3" s="1"/>
  <c r="N111" i="3" s="1"/>
  <c r="O111" i="3" s="1"/>
  <c r="I111" i="3"/>
  <c r="H111" i="3"/>
  <c r="K110" i="3"/>
  <c r="J110" i="3"/>
  <c r="I110" i="3"/>
  <c r="H110" i="3"/>
  <c r="K109" i="3"/>
  <c r="J109" i="3"/>
  <c r="L109" i="3" s="1"/>
  <c r="M109" i="3" s="1"/>
  <c r="N109" i="3" s="1"/>
  <c r="O109" i="3" s="1"/>
  <c r="I109" i="3"/>
  <c r="H109" i="3"/>
  <c r="K108" i="3"/>
  <c r="J108" i="3"/>
  <c r="I108" i="3"/>
  <c r="H108" i="3"/>
  <c r="K107" i="3"/>
  <c r="J107" i="3"/>
  <c r="L107" i="3" s="1"/>
  <c r="M107" i="3" s="1"/>
  <c r="N107" i="3" s="1"/>
  <c r="O107" i="3" s="1"/>
  <c r="I107" i="3"/>
  <c r="H107" i="3"/>
  <c r="K106" i="3"/>
  <c r="J106" i="3"/>
  <c r="I106" i="3"/>
  <c r="H106" i="3"/>
  <c r="K105" i="3"/>
  <c r="J105" i="3"/>
  <c r="L105" i="3" s="1"/>
  <c r="M105" i="3" s="1"/>
  <c r="N105" i="3" s="1"/>
  <c r="O105" i="3" s="1"/>
  <c r="I105" i="3"/>
  <c r="H105" i="3"/>
  <c r="K104" i="3"/>
  <c r="J104" i="3"/>
  <c r="I104" i="3"/>
  <c r="H104" i="3"/>
  <c r="K103" i="3"/>
  <c r="J103" i="3"/>
  <c r="L103" i="3" s="1"/>
  <c r="M103" i="3" s="1"/>
  <c r="N103" i="3" s="1"/>
  <c r="O103" i="3" s="1"/>
  <c r="I103" i="3"/>
  <c r="H103" i="3"/>
  <c r="K102" i="3"/>
  <c r="J102" i="3"/>
  <c r="I102" i="3"/>
  <c r="H102" i="3"/>
  <c r="K101" i="3"/>
  <c r="J101" i="3"/>
  <c r="L101" i="3" s="1"/>
  <c r="M101" i="3" s="1"/>
  <c r="N101" i="3" s="1"/>
  <c r="O101" i="3" s="1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K97" i="3"/>
  <c r="J97" i="3"/>
  <c r="L97" i="3" s="1"/>
  <c r="M97" i="3" s="1"/>
  <c r="N97" i="3" s="1"/>
  <c r="O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K93" i="3"/>
  <c r="J93" i="3"/>
  <c r="L93" i="3" s="1"/>
  <c r="M93" i="3" s="1"/>
  <c r="N93" i="3" s="1"/>
  <c r="O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K89" i="3"/>
  <c r="J89" i="3"/>
  <c r="L89" i="3" s="1"/>
  <c r="M89" i="3" s="1"/>
  <c r="N89" i="3" s="1"/>
  <c r="O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K85" i="3"/>
  <c r="J85" i="3"/>
  <c r="L85" i="3" s="1"/>
  <c r="M85" i="3" s="1"/>
  <c r="N85" i="3" s="1"/>
  <c r="O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K81" i="3"/>
  <c r="J81" i="3"/>
  <c r="L81" i="3" s="1"/>
  <c r="M81" i="3" s="1"/>
  <c r="N81" i="3" s="1"/>
  <c r="O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K77" i="3"/>
  <c r="J77" i="3"/>
  <c r="L77" i="3" s="1"/>
  <c r="M77" i="3" s="1"/>
  <c r="N77" i="3" s="1"/>
  <c r="O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K73" i="3"/>
  <c r="J73" i="3"/>
  <c r="L73" i="3" s="1"/>
  <c r="M73" i="3" s="1"/>
  <c r="N73" i="3" s="1"/>
  <c r="O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K69" i="3"/>
  <c r="J69" i="3"/>
  <c r="L69" i="3" s="1"/>
  <c r="M69" i="3" s="1"/>
  <c r="N69" i="3" s="1"/>
  <c r="O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K65" i="3"/>
  <c r="J65" i="3"/>
  <c r="L65" i="3" s="1"/>
  <c r="H65" i="3"/>
  <c r="M65" i="3" s="1"/>
  <c r="N65" i="3" s="1"/>
  <c r="O65" i="3" s="1"/>
  <c r="K64" i="3"/>
  <c r="J64" i="3"/>
  <c r="L64" i="3" s="1"/>
  <c r="H64" i="3"/>
  <c r="M64" i="3" s="1"/>
  <c r="N64" i="3" s="1"/>
  <c r="O64" i="3" s="1"/>
  <c r="K63" i="3"/>
  <c r="J63" i="3"/>
  <c r="L63" i="3" s="1"/>
  <c r="H63" i="3"/>
  <c r="M63" i="3" s="1"/>
  <c r="N63" i="3" s="1"/>
  <c r="O63" i="3" s="1"/>
  <c r="K62" i="3"/>
  <c r="J62" i="3"/>
  <c r="L62" i="3" s="1"/>
  <c r="H62" i="3"/>
  <c r="K61" i="3"/>
  <c r="J61" i="3"/>
  <c r="L61" i="3" s="1"/>
  <c r="H61" i="3"/>
  <c r="K60" i="3"/>
  <c r="J60" i="3"/>
  <c r="L60" i="3" s="1"/>
  <c r="H60" i="3"/>
  <c r="K59" i="3"/>
  <c r="J59" i="3"/>
  <c r="L59" i="3" s="1"/>
  <c r="H59" i="3"/>
  <c r="K58" i="3"/>
  <c r="J58" i="3"/>
  <c r="L58" i="3" s="1"/>
  <c r="H58" i="3"/>
  <c r="K57" i="3"/>
  <c r="J57" i="3"/>
  <c r="L57" i="3" s="1"/>
  <c r="H57" i="3"/>
  <c r="K56" i="3"/>
  <c r="J56" i="3"/>
  <c r="L56" i="3" s="1"/>
  <c r="H56" i="3"/>
  <c r="K55" i="3"/>
  <c r="J55" i="3"/>
  <c r="L55" i="3" s="1"/>
  <c r="H55" i="3"/>
  <c r="K54" i="3"/>
  <c r="J54" i="3"/>
  <c r="L54" i="3" s="1"/>
  <c r="H54" i="3"/>
  <c r="K53" i="3"/>
  <c r="J53" i="3"/>
  <c r="L53" i="3" s="1"/>
  <c r="H53" i="3"/>
  <c r="K52" i="3"/>
  <c r="J52" i="3"/>
  <c r="H52" i="3"/>
  <c r="K51" i="3"/>
  <c r="J51" i="3"/>
  <c r="H51" i="3"/>
  <c r="K50" i="3"/>
  <c r="J50" i="3"/>
  <c r="L50" i="3" s="1"/>
  <c r="H50" i="3"/>
  <c r="K49" i="3"/>
  <c r="J49" i="3"/>
  <c r="H49" i="3"/>
  <c r="K48" i="3"/>
  <c r="J48" i="3"/>
  <c r="H48" i="3"/>
  <c r="K47" i="3"/>
  <c r="J47" i="3"/>
  <c r="H47" i="3"/>
  <c r="K46" i="3"/>
  <c r="J46" i="3"/>
  <c r="L46" i="3" s="1"/>
  <c r="H46" i="3"/>
  <c r="K45" i="3"/>
  <c r="J45" i="3"/>
  <c r="H45" i="3"/>
  <c r="K44" i="3"/>
  <c r="J44" i="3"/>
  <c r="H44" i="3"/>
  <c r="K43" i="3"/>
  <c r="J43" i="3"/>
  <c r="L43" i="3" s="1"/>
  <c r="H43" i="3"/>
  <c r="M43" i="3" s="1"/>
  <c r="N43" i="3" s="1"/>
  <c r="O43" i="3" s="1"/>
  <c r="K42" i="3"/>
  <c r="J42" i="3"/>
  <c r="L42" i="3" s="1"/>
  <c r="H42" i="3"/>
  <c r="K41" i="3"/>
  <c r="J41" i="3"/>
  <c r="H41" i="3"/>
  <c r="K40" i="3"/>
  <c r="J40" i="3"/>
  <c r="H40" i="3"/>
  <c r="K39" i="3"/>
  <c r="J39" i="3"/>
  <c r="L39" i="3" s="1"/>
  <c r="H39" i="3"/>
  <c r="M39" i="3" s="1"/>
  <c r="N39" i="3" s="1"/>
  <c r="O39" i="3" s="1"/>
  <c r="K38" i="3"/>
  <c r="J38" i="3"/>
  <c r="L38" i="3" s="1"/>
  <c r="H38" i="3"/>
  <c r="L37" i="3"/>
  <c r="K37" i="3"/>
  <c r="J37" i="3"/>
  <c r="H37" i="3"/>
  <c r="K36" i="3"/>
  <c r="J36" i="3"/>
  <c r="L36" i="3" s="1"/>
  <c r="H36" i="3"/>
  <c r="L35" i="3"/>
  <c r="K35" i="3"/>
  <c r="J35" i="3"/>
  <c r="H35" i="3"/>
  <c r="K34" i="3"/>
  <c r="J34" i="3"/>
  <c r="L34" i="3" s="1"/>
  <c r="H34" i="3"/>
  <c r="L33" i="3"/>
  <c r="K33" i="3"/>
  <c r="J33" i="3"/>
  <c r="H33" i="3"/>
  <c r="K32" i="3"/>
  <c r="J32" i="3"/>
  <c r="L32" i="3" s="1"/>
  <c r="H32" i="3"/>
  <c r="L31" i="3"/>
  <c r="K31" i="3"/>
  <c r="J31" i="3"/>
  <c r="H31" i="3"/>
  <c r="K30" i="3"/>
  <c r="J30" i="3"/>
  <c r="L30" i="3" s="1"/>
  <c r="H30" i="3"/>
  <c r="L29" i="3"/>
  <c r="K29" i="3"/>
  <c r="J29" i="3"/>
  <c r="H29" i="3"/>
  <c r="K28" i="3"/>
  <c r="J28" i="3"/>
  <c r="L28" i="3" s="1"/>
  <c r="H28" i="3"/>
  <c r="L27" i="3"/>
  <c r="K27" i="3"/>
  <c r="J27" i="3"/>
  <c r="H27" i="3"/>
  <c r="K26" i="3"/>
  <c r="J26" i="3"/>
  <c r="L26" i="3" s="1"/>
  <c r="H26" i="3"/>
  <c r="L25" i="3"/>
  <c r="K25" i="3"/>
  <c r="J25" i="3"/>
  <c r="H25" i="3"/>
  <c r="K24" i="3"/>
  <c r="J24" i="3"/>
  <c r="L24" i="3" s="1"/>
  <c r="H24" i="3"/>
  <c r="L23" i="3"/>
  <c r="K23" i="3"/>
  <c r="J23" i="3"/>
  <c r="H23" i="3"/>
  <c r="K22" i="3"/>
  <c r="J22" i="3"/>
  <c r="L22" i="3" s="1"/>
  <c r="H22" i="3"/>
  <c r="L21" i="3"/>
  <c r="K21" i="3"/>
  <c r="J21" i="3"/>
  <c r="H21" i="3"/>
  <c r="K20" i="3"/>
  <c r="J20" i="3"/>
  <c r="L20" i="3" s="1"/>
  <c r="H20" i="3"/>
  <c r="L19" i="3"/>
  <c r="K19" i="3"/>
  <c r="J19" i="3"/>
  <c r="H19" i="3"/>
  <c r="K18" i="3"/>
  <c r="J18" i="3"/>
  <c r="L18" i="3" s="1"/>
  <c r="H18" i="3"/>
  <c r="L17" i="3"/>
  <c r="K17" i="3"/>
  <c r="J17" i="3"/>
  <c r="H17" i="3"/>
  <c r="K16" i="3"/>
  <c r="J16" i="3"/>
  <c r="L16" i="3" s="1"/>
  <c r="H16" i="3"/>
  <c r="L15" i="3"/>
  <c r="K15" i="3"/>
  <c r="J15" i="3"/>
  <c r="H15" i="3"/>
  <c r="K14" i="3"/>
  <c r="J14" i="3"/>
  <c r="L14" i="3" s="1"/>
  <c r="H14" i="3"/>
  <c r="L13" i="3"/>
  <c r="K13" i="3"/>
  <c r="J13" i="3"/>
  <c r="H13" i="3"/>
  <c r="K12" i="3"/>
  <c r="J12" i="3"/>
  <c r="L12" i="3" s="1"/>
  <c r="H12" i="3"/>
  <c r="L11" i="3"/>
  <c r="K11" i="3"/>
  <c r="J11" i="3"/>
  <c r="H11" i="3"/>
  <c r="K10" i="3"/>
  <c r="J10" i="3"/>
  <c r="L10" i="3" s="1"/>
  <c r="H10" i="3"/>
  <c r="L9" i="3"/>
  <c r="K9" i="3"/>
  <c r="J9" i="3"/>
  <c r="H9" i="3"/>
  <c r="K8" i="3"/>
  <c r="J8" i="3"/>
  <c r="L8" i="3" s="1"/>
  <c r="H8" i="3"/>
  <c r="L7" i="3"/>
  <c r="K7" i="3"/>
  <c r="J7" i="3"/>
  <c r="H7" i="3"/>
  <c r="K49" i="4" l="1"/>
  <c r="M49" i="4"/>
  <c r="M48" i="4"/>
  <c r="K48" i="4"/>
  <c r="K47" i="4"/>
  <c r="M47" i="4"/>
  <c r="M46" i="4"/>
  <c r="K46" i="4"/>
  <c r="M45" i="4"/>
  <c r="K45" i="4"/>
  <c r="G108" i="4"/>
  <c r="K44" i="4"/>
  <c r="M44" i="4"/>
  <c r="M43" i="4"/>
  <c r="K43" i="4"/>
  <c r="L41" i="3"/>
  <c r="M42" i="3"/>
  <c r="N42" i="3" s="1"/>
  <c r="O42" i="3" s="1"/>
  <c r="L45" i="3"/>
  <c r="M46" i="3"/>
  <c r="N46" i="3" s="1"/>
  <c r="O46" i="3" s="1"/>
  <c r="L49" i="3"/>
  <c r="M50" i="3"/>
  <c r="N50" i="3" s="1"/>
  <c r="O50" i="3" s="1"/>
  <c r="M11" i="3"/>
  <c r="N11" i="3" s="1"/>
  <c r="O11" i="3" s="1"/>
  <c r="I11" i="3"/>
  <c r="M17" i="3"/>
  <c r="N17" i="3" s="1"/>
  <c r="O17" i="3" s="1"/>
  <c r="I17" i="3"/>
  <c r="M23" i="3"/>
  <c r="N23" i="3" s="1"/>
  <c r="O23" i="3" s="1"/>
  <c r="I23" i="3"/>
  <c r="M25" i="3"/>
  <c r="N25" i="3" s="1"/>
  <c r="O25" i="3" s="1"/>
  <c r="I25" i="3"/>
  <c r="M9" i="3"/>
  <c r="N9" i="3" s="1"/>
  <c r="O9" i="3" s="1"/>
  <c r="I9" i="3"/>
  <c r="M15" i="3"/>
  <c r="N15" i="3" s="1"/>
  <c r="O15" i="3" s="1"/>
  <c r="I15" i="3"/>
  <c r="M21" i="3"/>
  <c r="N21" i="3" s="1"/>
  <c r="O21" i="3" s="1"/>
  <c r="I21" i="3"/>
  <c r="M27" i="3"/>
  <c r="N27" i="3" s="1"/>
  <c r="O27" i="3" s="1"/>
  <c r="I27" i="3"/>
  <c r="M33" i="3"/>
  <c r="N33" i="3" s="1"/>
  <c r="O33" i="3" s="1"/>
  <c r="I33" i="3"/>
  <c r="L47" i="3"/>
  <c r="M47" i="3" s="1"/>
  <c r="N47" i="3" s="1"/>
  <c r="O47" i="3" s="1"/>
  <c r="L51" i="3"/>
  <c r="M51" i="3" s="1"/>
  <c r="N51" i="3" s="1"/>
  <c r="O51" i="3" s="1"/>
  <c r="M7" i="3"/>
  <c r="N7" i="3" s="1"/>
  <c r="O7" i="3" s="1"/>
  <c r="I7" i="3"/>
  <c r="M13" i="3"/>
  <c r="N13" i="3" s="1"/>
  <c r="O13" i="3" s="1"/>
  <c r="I13" i="3"/>
  <c r="M19" i="3"/>
  <c r="N19" i="3" s="1"/>
  <c r="O19" i="3" s="1"/>
  <c r="I19" i="3"/>
  <c r="M29" i="3"/>
  <c r="N29" i="3" s="1"/>
  <c r="O29" i="3" s="1"/>
  <c r="I29" i="3"/>
  <c r="M31" i="3"/>
  <c r="N31" i="3" s="1"/>
  <c r="O31" i="3" s="1"/>
  <c r="I31" i="3"/>
  <c r="M35" i="3"/>
  <c r="N35" i="3" s="1"/>
  <c r="O35" i="3" s="1"/>
  <c r="I35" i="3"/>
  <c r="M37" i="3"/>
  <c r="N37" i="3" s="1"/>
  <c r="O37" i="3" s="1"/>
  <c r="I37" i="3"/>
  <c r="M8" i="3"/>
  <c r="N8" i="3" s="1"/>
  <c r="O8" i="3" s="1"/>
  <c r="I8" i="3"/>
  <c r="M10" i="3"/>
  <c r="N10" i="3" s="1"/>
  <c r="O10" i="3" s="1"/>
  <c r="I10" i="3"/>
  <c r="M12" i="3"/>
  <c r="N12" i="3" s="1"/>
  <c r="O12" i="3" s="1"/>
  <c r="I12" i="3"/>
  <c r="M14" i="3"/>
  <c r="N14" i="3" s="1"/>
  <c r="O14" i="3" s="1"/>
  <c r="I14" i="3"/>
  <c r="M16" i="3"/>
  <c r="N16" i="3" s="1"/>
  <c r="O16" i="3" s="1"/>
  <c r="I16" i="3"/>
  <c r="M18" i="3"/>
  <c r="N18" i="3" s="1"/>
  <c r="O18" i="3" s="1"/>
  <c r="I18" i="3"/>
  <c r="M20" i="3"/>
  <c r="N20" i="3" s="1"/>
  <c r="O20" i="3" s="1"/>
  <c r="I20" i="3"/>
  <c r="M22" i="3"/>
  <c r="N22" i="3" s="1"/>
  <c r="O22" i="3" s="1"/>
  <c r="I22" i="3"/>
  <c r="M24" i="3"/>
  <c r="N24" i="3" s="1"/>
  <c r="O24" i="3" s="1"/>
  <c r="I24" i="3"/>
  <c r="M26" i="3"/>
  <c r="N26" i="3" s="1"/>
  <c r="O26" i="3" s="1"/>
  <c r="I26" i="3"/>
  <c r="M28" i="3"/>
  <c r="N28" i="3" s="1"/>
  <c r="O28" i="3" s="1"/>
  <c r="I28" i="3"/>
  <c r="M30" i="3"/>
  <c r="N30" i="3" s="1"/>
  <c r="O30" i="3" s="1"/>
  <c r="I30" i="3"/>
  <c r="M32" i="3"/>
  <c r="N32" i="3" s="1"/>
  <c r="O32" i="3" s="1"/>
  <c r="I32" i="3"/>
  <c r="M34" i="3"/>
  <c r="N34" i="3" s="1"/>
  <c r="O34" i="3" s="1"/>
  <c r="I34" i="3"/>
  <c r="M36" i="3"/>
  <c r="N36" i="3" s="1"/>
  <c r="O36" i="3" s="1"/>
  <c r="I36" i="3"/>
  <c r="M38" i="3"/>
  <c r="N38" i="3" s="1"/>
  <c r="O38" i="3" s="1"/>
  <c r="I38" i="3"/>
  <c r="L40" i="3"/>
  <c r="M40" i="3" s="1"/>
  <c r="N40" i="3" s="1"/>
  <c r="O40" i="3" s="1"/>
  <c r="M41" i="3"/>
  <c r="N41" i="3" s="1"/>
  <c r="O41" i="3" s="1"/>
  <c r="L44" i="3"/>
  <c r="M44" i="3" s="1"/>
  <c r="N44" i="3" s="1"/>
  <c r="O44" i="3" s="1"/>
  <c r="M45" i="3"/>
  <c r="N45" i="3" s="1"/>
  <c r="O45" i="3" s="1"/>
  <c r="L48" i="3"/>
  <c r="M48" i="3" s="1"/>
  <c r="N48" i="3" s="1"/>
  <c r="O48" i="3" s="1"/>
  <c r="M49" i="3"/>
  <c r="N49" i="3" s="1"/>
  <c r="O49" i="3" s="1"/>
  <c r="L52" i="3"/>
  <c r="M52" i="3" s="1"/>
  <c r="N52" i="3" s="1"/>
  <c r="O52" i="3" s="1"/>
  <c r="M53" i="3"/>
  <c r="N53" i="3" s="1"/>
  <c r="O53" i="3" s="1"/>
  <c r="M54" i="3"/>
  <c r="N54" i="3" s="1"/>
  <c r="O54" i="3" s="1"/>
  <c r="M55" i="3"/>
  <c r="N55" i="3" s="1"/>
  <c r="O55" i="3" s="1"/>
  <c r="M56" i="3"/>
  <c r="N56" i="3" s="1"/>
  <c r="O56" i="3" s="1"/>
  <c r="M57" i="3"/>
  <c r="N57" i="3" s="1"/>
  <c r="O57" i="3" s="1"/>
  <c r="M58" i="3"/>
  <c r="N58" i="3" s="1"/>
  <c r="O58" i="3" s="1"/>
  <c r="M59" i="3"/>
  <c r="N59" i="3" s="1"/>
  <c r="O59" i="3" s="1"/>
  <c r="M60" i="3"/>
  <c r="N60" i="3" s="1"/>
  <c r="O60" i="3" s="1"/>
  <c r="M61" i="3"/>
  <c r="N61" i="3" s="1"/>
  <c r="O61" i="3" s="1"/>
  <c r="M62" i="3"/>
  <c r="N62" i="3" s="1"/>
  <c r="O62" i="3" s="1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2" i="3"/>
  <c r="M102" i="3" s="1"/>
  <c r="N102" i="3" s="1"/>
  <c r="O102" i="3" s="1"/>
  <c r="L106" i="3"/>
  <c r="M106" i="3" s="1"/>
  <c r="N106" i="3" s="1"/>
  <c r="O106" i="3" s="1"/>
  <c r="L110" i="3"/>
  <c r="M110" i="3" s="1"/>
  <c r="N110" i="3" s="1"/>
  <c r="O110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4" i="3"/>
  <c r="M104" i="3" s="1"/>
  <c r="N104" i="3" s="1"/>
  <c r="O104" i="3" s="1"/>
  <c r="L108" i="3"/>
  <c r="M108" i="3" s="1"/>
  <c r="N108" i="3" s="1"/>
  <c r="O108" i="3" s="1"/>
  <c r="L112" i="3"/>
  <c r="M112" i="3" s="1"/>
  <c r="N112" i="3" s="1"/>
  <c r="O112" i="3" s="1"/>
  <c r="L116" i="3"/>
  <c r="M116" i="3" s="1"/>
  <c r="N116" i="3" s="1"/>
  <c r="O116" i="3" s="1"/>
  <c r="L120" i="3"/>
  <c r="M120" i="3" s="1"/>
  <c r="N120" i="3" s="1"/>
  <c r="O120" i="3" s="1"/>
  <c r="L124" i="3"/>
  <c r="M124" i="3" s="1"/>
  <c r="N124" i="3" s="1"/>
  <c r="O124" i="3" s="1"/>
  <c r="L128" i="3"/>
  <c r="M128" i="3" s="1"/>
  <c r="N128" i="3" s="1"/>
  <c r="O128" i="3" s="1"/>
  <c r="L132" i="3"/>
  <c r="M132" i="3" s="1"/>
  <c r="N132" i="3" s="1"/>
  <c r="O132" i="3" s="1"/>
  <c r="L136" i="3"/>
  <c r="M136" i="3" s="1"/>
  <c r="N136" i="3" s="1"/>
  <c r="O136" i="3" s="1"/>
  <c r="L140" i="3"/>
  <c r="M140" i="3" s="1"/>
  <c r="N140" i="3" s="1"/>
  <c r="O140" i="3" s="1"/>
  <c r="L144" i="3"/>
  <c r="M144" i="3" s="1"/>
  <c r="N144" i="3" s="1"/>
  <c r="O144" i="3" s="1"/>
  <c r="L148" i="3"/>
  <c r="M148" i="3" s="1"/>
  <c r="N148" i="3" s="1"/>
  <c r="O148" i="3" s="1"/>
  <c r="L152" i="3"/>
  <c r="M152" i="3" s="1"/>
  <c r="N152" i="3" s="1"/>
  <c r="O152" i="3" s="1"/>
  <c r="L156" i="3"/>
  <c r="M156" i="3" s="1"/>
  <c r="N156" i="3" s="1"/>
  <c r="O156" i="3" s="1"/>
  <c r="L160" i="3"/>
  <c r="M160" i="3" s="1"/>
  <c r="N160" i="3" s="1"/>
  <c r="O160" i="3" s="1"/>
  <c r="L164" i="3"/>
  <c r="M164" i="3" s="1"/>
  <c r="N164" i="3" s="1"/>
  <c r="O164" i="3" s="1"/>
  <c r="L168" i="3"/>
  <c r="M168" i="3" s="1"/>
  <c r="N168" i="3" s="1"/>
  <c r="O168" i="3" s="1"/>
  <c r="L172" i="3"/>
  <c r="M172" i="3" s="1"/>
  <c r="N172" i="3" s="1"/>
  <c r="O172" i="3" s="1"/>
  <c r="L176" i="3"/>
  <c r="M176" i="3" s="1"/>
  <c r="N176" i="3" s="1"/>
  <c r="O176" i="3" s="1"/>
  <c r="L180" i="3"/>
  <c r="M180" i="3" s="1"/>
  <c r="N180" i="3" s="1"/>
  <c r="O180" i="3" s="1"/>
  <c r="L184" i="3"/>
  <c r="M184" i="3" s="1"/>
  <c r="N184" i="3" s="1"/>
  <c r="O184" i="3" s="1"/>
  <c r="L215" i="3"/>
  <c r="M215" i="3" s="1"/>
  <c r="N215" i="3" s="1"/>
  <c r="O215" i="3" s="1"/>
  <c r="L219" i="3"/>
  <c r="M219" i="3" s="1"/>
  <c r="N219" i="3" s="1"/>
  <c r="O219" i="3" s="1"/>
  <c r="L223" i="3"/>
  <c r="M223" i="3" s="1"/>
  <c r="N223" i="3" s="1"/>
  <c r="O223" i="3" s="1"/>
  <c r="L227" i="3"/>
  <c r="M227" i="3" s="1"/>
  <c r="N227" i="3" s="1"/>
  <c r="O227" i="3" s="1"/>
  <c r="N17" i="4"/>
  <c r="O17" i="4" s="1"/>
  <c r="P17" i="4" s="1"/>
  <c r="K33" i="4"/>
  <c r="N33" i="4" s="1"/>
  <c r="O33" i="4" s="1"/>
  <c r="P33" i="4" s="1"/>
  <c r="M33" i="4"/>
  <c r="K35" i="4"/>
  <c r="N35" i="4"/>
  <c r="O35" i="4" s="1"/>
  <c r="P35" i="4" s="1"/>
  <c r="M35" i="4"/>
  <c r="K37" i="4"/>
  <c r="N37" i="4" s="1"/>
  <c r="O37" i="4" s="1"/>
  <c r="P37" i="4" s="1"/>
  <c r="M37" i="4"/>
  <c r="L214" i="3"/>
  <c r="M214" i="3" s="1"/>
  <c r="N214" i="3" s="1"/>
  <c r="O214" i="3" s="1"/>
  <c r="L218" i="3"/>
  <c r="M218" i="3" s="1"/>
  <c r="N218" i="3" s="1"/>
  <c r="O218" i="3" s="1"/>
  <c r="L222" i="3"/>
  <c r="M222" i="3" s="1"/>
  <c r="N222" i="3" s="1"/>
  <c r="O222" i="3" s="1"/>
  <c r="L226" i="3"/>
  <c r="M226" i="3" s="1"/>
  <c r="N226" i="3" s="1"/>
  <c r="O226" i="3" s="1"/>
  <c r="L230" i="3"/>
  <c r="M230" i="3" s="1"/>
  <c r="N230" i="3" s="1"/>
  <c r="O230" i="3" s="1"/>
  <c r="N7" i="4"/>
  <c r="O7" i="4" s="1"/>
  <c r="P7" i="4" s="1"/>
  <c r="M7" i="4"/>
  <c r="K7" i="4"/>
  <c r="K8" i="4"/>
  <c r="M8" i="4"/>
  <c r="N8" i="4" s="1"/>
  <c r="O8" i="4" s="1"/>
  <c r="P8" i="4" s="1"/>
  <c r="N13" i="4"/>
  <c r="O13" i="4" s="1"/>
  <c r="P13" i="4" s="1"/>
  <c r="M23" i="4"/>
  <c r="K23" i="4"/>
  <c r="N23" i="4" s="1"/>
  <c r="O23" i="4" s="1"/>
  <c r="P23" i="4" s="1"/>
  <c r="K26" i="4"/>
  <c r="N26" i="4" s="1"/>
  <c r="O26" i="4" s="1"/>
  <c r="P26" i="4" s="1"/>
  <c r="M26" i="4"/>
  <c r="M28" i="4"/>
  <c r="K28" i="4"/>
  <c r="N28" i="4" s="1"/>
  <c r="O28" i="4" s="1"/>
  <c r="P28" i="4" s="1"/>
  <c r="L213" i="3"/>
  <c r="M213" i="3" s="1"/>
  <c r="N213" i="3" s="1"/>
  <c r="O213" i="3" s="1"/>
  <c r="L217" i="3"/>
  <c r="M217" i="3" s="1"/>
  <c r="N217" i="3" s="1"/>
  <c r="O217" i="3" s="1"/>
  <c r="L221" i="3"/>
  <c r="M221" i="3" s="1"/>
  <c r="N221" i="3" s="1"/>
  <c r="O221" i="3" s="1"/>
  <c r="L225" i="3"/>
  <c r="M225" i="3" s="1"/>
  <c r="N225" i="3" s="1"/>
  <c r="O225" i="3" s="1"/>
  <c r="L229" i="3"/>
  <c r="M229" i="3" s="1"/>
  <c r="N229" i="3" s="1"/>
  <c r="O229" i="3" s="1"/>
  <c r="N6" i="4"/>
  <c r="M9" i="4"/>
  <c r="K9" i="4"/>
  <c r="N9" i="4" s="1"/>
  <c r="O9" i="4" s="1"/>
  <c r="P9" i="4" s="1"/>
  <c r="N10" i="4"/>
  <c r="O10" i="4" s="1"/>
  <c r="P10" i="4" s="1"/>
  <c r="M11" i="4"/>
  <c r="K11" i="4"/>
  <c r="N11" i="4" s="1"/>
  <c r="O11" i="4" s="1"/>
  <c r="P11" i="4" s="1"/>
  <c r="M12" i="4"/>
  <c r="N12" i="4" s="1"/>
  <c r="O12" i="4" s="1"/>
  <c r="P12" i="4" s="1"/>
  <c r="M16" i="4"/>
  <c r="K16" i="4"/>
  <c r="N16" i="4"/>
  <c r="O16" i="4" s="1"/>
  <c r="P16" i="4" s="1"/>
  <c r="K19" i="4"/>
  <c r="N19" i="4"/>
  <c r="O19" i="4" s="1"/>
  <c r="P19" i="4" s="1"/>
  <c r="M19" i="4"/>
  <c r="N20" i="4"/>
  <c r="O20" i="4" s="1"/>
  <c r="P20" i="4" s="1"/>
  <c r="M13" i="4"/>
  <c r="M14" i="4"/>
  <c r="N14" i="4" s="1"/>
  <c r="O14" i="4" s="1"/>
  <c r="P14" i="4" s="1"/>
  <c r="M17" i="4"/>
  <c r="K18" i="4"/>
  <c r="N18" i="4" s="1"/>
  <c r="O18" i="4" s="1"/>
  <c r="P18" i="4" s="1"/>
  <c r="M20" i="4"/>
  <c r="M21" i="4"/>
  <c r="N21" i="4" s="1"/>
  <c r="O21" i="4" s="1"/>
  <c r="P21" i="4" s="1"/>
  <c r="M24" i="4"/>
  <c r="N24" i="4" s="1"/>
  <c r="O24" i="4" s="1"/>
  <c r="P24" i="4" s="1"/>
  <c r="K25" i="4"/>
  <c r="N25" i="4" s="1"/>
  <c r="O25" i="4" s="1"/>
  <c r="P25" i="4" s="1"/>
  <c r="M30" i="4"/>
  <c r="N30" i="4" s="1"/>
  <c r="O30" i="4" s="1"/>
  <c r="P30" i="4" s="1"/>
  <c r="M31" i="4"/>
  <c r="N31" i="4" s="1"/>
  <c r="O31" i="4" s="1"/>
  <c r="P31" i="4" s="1"/>
  <c r="K32" i="4"/>
  <c r="N32" i="4" s="1"/>
  <c r="O32" i="4" s="1"/>
  <c r="P32" i="4" s="1"/>
  <c r="K34" i="4"/>
  <c r="N34" i="4" s="1"/>
  <c r="O34" i="4" s="1"/>
  <c r="P34" i="4" s="1"/>
  <c r="K36" i="4"/>
  <c r="N36" i="4" s="1"/>
  <c r="O36" i="4" s="1"/>
  <c r="P36" i="4" s="1"/>
  <c r="N38" i="4"/>
  <c r="O38" i="4" s="1"/>
  <c r="P38" i="4" s="1"/>
  <c r="M38" i="4"/>
  <c r="N39" i="4"/>
  <c r="O39" i="4" s="1"/>
  <c r="P39" i="4" s="1"/>
  <c r="M15" i="4"/>
  <c r="M22" i="4"/>
  <c r="N22" i="4" s="1"/>
  <c r="O22" i="4" s="1"/>
  <c r="P22" i="4" s="1"/>
  <c r="M27" i="4"/>
  <c r="N29" i="4"/>
  <c r="O29" i="4" s="1"/>
  <c r="P29" i="4" s="1"/>
  <c r="K42" i="4"/>
  <c r="N42" i="4"/>
  <c r="O42" i="4" s="1"/>
  <c r="P42" i="4" s="1"/>
  <c r="M69" i="4"/>
  <c r="N69" i="4"/>
  <c r="O69" i="4" s="1"/>
  <c r="P69" i="4" s="1"/>
  <c r="K69" i="4"/>
  <c r="M77" i="4"/>
  <c r="N77" i="4"/>
  <c r="O77" i="4" s="1"/>
  <c r="P77" i="4" s="1"/>
  <c r="K77" i="4"/>
  <c r="M85" i="4"/>
  <c r="N85" i="4"/>
  <c r="O85" i="4" s="1"/>
  <c r="P85" i="4" s="1"/>
  <c r="K85" i="4"/>
  <c r="M93" i="4"/>
  <c r="N93" i="4"/>
  <c r="O93" i="4" s="1"/>
  <c r="P93" i="4" s="1"/>
  <c r="K93" i="4"/>
  <c r="N15" i="4"/>
  <c r="O15" i="4" s="1"/>
  <c r="P15" i="4" s="1"/>
  <c r="M18" i="4"/>
  <c r="M25" i="4"/>
  <c r="N27" i="4"/>
  <c r="O27" i="4" s="1"/>
  <c r="P27" i="4" s="1"/>
  <c r="M32" i="4"/>
  <c r="M34" i="4"/>
  <c r="M36" i="4"/>
  <c r="L108" i="4"/>
  <c r="N40" i="4"/>
  <c r="O40" i="4" s="1"/>
  <c r="P40" i="4" s="1"/>
  <c r="M40" i="4"/>
  <c r="K40" i="4"/>
  <c r="K68" i="4"/>
  <c r="N68" i="4"/>
  <c r="O68" i="4" s="1"/>
  <c r="P68" i="4" s="1"/>
  <c r="M68" i="4"/>
  <c r="K76" i="4"/>
  <c r="N76" i="4"/>
  <c r="O76" i="4" s="1"/>
  <c r="P76" i="4" s="1"/>
  <c r="M76" i="4"/>
  <c r="K84" i="4"/>
  <c r="N84" i="4"/>
  <c r="O84" i="4" s="1"/>
  <c r="P84" i="4" s="1"/>
  <c r="M84" i="4"/>
  <c r="K92" i="4"/>
  <c r="N92" i="4"/>
  <c r="O92" i="4" s="1"/>
  <c r="P92" i="4" s="1"/>
  <c r="M92" i="4"/>
  <c r="N41" i="4"/>
  <c r="O41" i="4" s="1"/>
  <c r="P41" i="4" s="1"/>
  <c r="N64" i="4"/>
  <c r="O64" i="4" s="1"/>
  <c r="P64" i="4" s="1"/>
  <c r="N65" i="4"/>
  <c r="O65" i="4" s="1"/>
  <c r="P65" i="4" s="1"/>
  <c r="M66" i="4"/>
  <c r="N72" i="4"/>
  <c r="O72" i="4" s="1"/>
  <c r="P72" i="4" s="1"/>
  <c r="N73" i="4"/>
  <c r="O73" i="4" s="1"/>
  <c r="P73" i="4" s="1"/>
  <c r="M74" i="4"/>
  <c r="N80" i="4"/>
  <c r="O80" i="4" s="1"/>
  <c r="P80" i="4" s="1"/>
  <c r="N81" i="4"/>
  <c r="O81" i="4" s="1"/>
  <c r="P81" i="4" s="1"/>
  <c r="M82" i="4"/>
  <c r="N88" i="4"/>
  <c r="O88" i="4" s="1"/>
  <c r="P88" i="4" s="1"/>
  <c r="N89" i="4"/>
  <c r="O89" i="4" s="1"/>
  <c r="P89" i="4" s="1"/>
  <c r="M90" i="4"/>
  <c r="N96" i="4"/>
  <c r="O96" i="4" s="1"/>
  <c r="P96" i="4" s="1"/>
  <c r="N97" i="4"/>
  <c r="O97" i="4" s="1"/>
  <c r="P97" i="4" s="1"/>
  <c r="M98" i="4"/>
  <c r="K101" i="4"/>
  <c r="N104" i="4"/>
  <c r="O104" i="4" s="1"/>
  <c r="P104" i="4" s="1"/>
  <c r="N105" i="4"/>
  <c r="O105" i="4" s="1"/>
  <c r="P105" i="4" s="1"/>
  <c r="M106" i="4"/>
  <c r="M19" i="6"/>
  <c r="M21" i="6"/>
  <c r="Q21" i="6" s="1"/>
  <c r="R21" i="6" s="1"/>
  <c r="M23" i="6"/>
  <c r="M100" i="4"/>
  <c r="N20" i="6"/>
  <c r="N22" i="6"/>
  <c r="N24" i="6"/>
  <c r="K65" i="4"/>
  <c r="M70" i="4"/>
  <c r="K73" i="4"/>
  <c r="M78" i="4"/>
  <c r="K81" i="4"/>
  <c r="M86" i="4"/>
  <c r="K89" i="4"/>
  <c r="M94" i="4"/>
  <c r="K97" i="4"/>
  <c r="N100" i="4"/>
  <c r="O100" i="4" s="1"/>
  <c r="P100" i="4" s="1"/>
  <c r="N101" i="4"/>
  <c r="O101" i="4" s="1"/>
  <c r="P101" i="4" s="1"/>
  <c r="M102" i="4"/>
  <c r="K105" i="4"/>
  <c r="M6" i="6"/>
  <c r="N6" i="6" s="1"/>
  <c r="M20" i="6"/>
  <c r="Q20" i="6" s="1"/>
  <c r="R20" i="6" s="1"/>
  <c r="M22" i="6"/>
  <c r="Q22" i="6" s="1"/>
  <c r="R22" i="6" s="1"/>
  <c r="M24" i="6"/>
  <c r="Q24" i="6" s="1"/>
  <c r="R24" i="6" s="1"/>
  <c r="M64" i="4"/>
  <c r="M72" i="4"/>
  <c r="M80" i="4"/>
  <c r="M88" i="4"/>
  <c r="M96" i="4"/>
  <c r="M104" i="4"/>
  <c r="N107" i="4"/>
  <c r="O107" i="4" s="1"/>
  <c r="P107" i="4" s="1"/>
  <c r="M107" i="4"/>
  <c r="Q19" i="6"/>
  <c r="R19" i="6" s="1"/>
  <c r="N19" i="6"/>
  <c r="Q23" i="6"/>
  <c r="R23" i="6" s="1"/>
  <c r="N23" i="6"/>
  <c r="L25" i="6"/>
  <c r="M25" i="6"/>
  <c r="N21" i="6" l="1"/>
  <c r="Q6" i="6"/>
  <c r="R6" i="6" s="1"/>
  <c r="M108" i="4"/>
  <c r="Q25" i="6"/>
  <c r="R25" i="6" s="1"/>
  <c r="N25" i="6"/>
  <c r="N108" i="4"/>
  <c r="O108" i="4" s="1"/>
  <c r="O6" i="4"/>
  <c r="P6" i="4" s="1"/>
  <c r="K108" i="4"/>
</calcChain>
</file>

<file path=xl/sharedStrings.xml><?xml version="1.0" encoding="utf-8"?>
<sst xmlns="http://schemas.openxmlformats.org/spreadsheetml/2006/main" count="1757" uniqueCount="530">
  <si>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</si>
  <si>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</si>
  <si>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</si>
  <si>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</si>
  <si>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</si>
  <si>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</si>
  <si>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</si>
  <si>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</si>
  <si>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</si>
  <si>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</si>
  <si>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</si>
  <si>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</si>
  <si>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</si>
  <si>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</si>
  <si>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</si>
  <si>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</si>
  <si>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</si>
  <si>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</si>
  <si>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</si>
  <si>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</si>
  <si>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</si>
  <si>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</si>
  <si>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</si>
  <si>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</si>
  <si>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</si>
  <si>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</si>
  <si>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</si>
  <si>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</si>
  <si>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</si>
  <si>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</si>
  <si>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</si>
  <si>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</si>
  <si>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</si>
  <si>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</si>
  <si>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</si>
  <si>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</si>
  <si>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</si>
  <si>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</si>
  <si>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</si>
  <si>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</si>
  <si>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</si>
  <si>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</si>
  <si>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</si>
  <si>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</si>
  <si>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</si>
  <si>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</si>
  <si>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</si>
  <si>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</si>
  <si>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</si>
  <si>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</si>
  <si>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</si>
  <si>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</si>
  <si>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</si>
  <si>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</si>
  <si>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</si>
  <si>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</si>
  <si>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</si>
  <si>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</si>
  <si>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</si>
  <si>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</si>
  <si>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</si>
  <si>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</si>
  <si>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</si>
  <si>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</si>
  <si>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</si>
  <si>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</si>
  <si>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</si>
  <si>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</si>
  <si>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</si>
  <si>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</si>
  <si>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</si>
  <si>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</si>
  <si>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</si>
  <si>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</si>
  <si>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</si>
  <si>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</si>
  <si>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</si>
  <si>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</si>
  <si>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</si>
  <si>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</si>
  <si>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</si>
  <si>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</si>
  <si>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</si>
  <si>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</si>
  <si>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</si>
  <si>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</si>
  <si>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</si>
  <si>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</si>
  <si>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</si>
  <si>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</si>
  <si>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</si>
  <si>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</si>
  <si>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</si>
  <si>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</si>
  <si>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</si>
  <si>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</si>
  <si>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</si>
  <si>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</si>
  <si>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</si>
  <si>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</si>
  <si>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</si>
  <si>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</si>
  <si>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</si>
  <si>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</si>
  <si>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</si>
  <si>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</si>
  <si>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</si>
  <si>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</si>
  <si>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</si>
  <si>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</si>
  <si>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</si>
  <si>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</si>
  <si>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</si>
  <si>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</si>
  <si>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</si>
  <si>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</si>
  <si>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</si>
  <si>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</si>
  <si>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</si>
  <si>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</si>
  <si>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</si>
  <si>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</si>
  <si>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</si>
  <si>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</si>
  <si>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</si>
  <si>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</si>
  <si>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</si>
  <si>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</si>
  <si>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</si>
  <si>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</si>
  <si>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</si>
  <si>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</si>
  <si>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</si>
  <si>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</si>
  <si>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</si>
  <si>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</si>
  <si>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</si>
  <si>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</si>
  <si>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</si>
  <si>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</si>
  <si>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</si>
  <si>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</si>
  <si>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</si>
  <si>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</si>
  <si>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</si>
  <si>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</si>
  <si>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</si>
  <si>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</si>
  <si>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</si>
  <si>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</si>
  <si>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</si>
  <si>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</si>
  <si>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</si>
  <si>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</si>
  <si>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</si>
  <si>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</si>
  <si>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</si>
  <si>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</si>
  <si>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</si>
  <si>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</si>
  <si>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</si>
  <si>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</si>
  <si>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</si>
  <si>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</si>
  <si>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</si>
  <si>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</si>
  <si>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</si>
  <si>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</si>
  <si>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</si>
  <si>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</si>
  <si>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</si>
  <si>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</si>
  <si>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</si>
  <si>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</si>
  <si>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</si>
  <si>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</si>
  <si>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</si>
  <si>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</si>
  <si>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</si>
  <si>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</si>
  <si>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</si>
  <si>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</si>
  <si>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</si>
  <si>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</si>
  <si>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</si>
  <si>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</si>
  <si>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</si>
  <si>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</si>
  <si>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</si>
  <si>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</si>
  <si>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</si>
  <si>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</si>
  <si>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</si>
  <si>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</si>
  <si>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</si>
  <si>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</si>
  <si>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</si>
  <si>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</si>
  <si>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</si>
  <si>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</si>
  <si>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</si>
  <si>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</si>
  <si>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</si>
  <si>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</si>
  <si>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</si>
  <si>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</si>
  <si>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</si>
  <si>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</si>
  <si>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</si>
  <si>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</si>
  <si>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</si>
  <si>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</si>
  <si>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</si>
  <si>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</si>
  <si>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</si>
  <si>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</si>
  <si>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</si>
  <si>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</si>
  <si>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</si>
  <si>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</si>
  <si>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</si>
  <si>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</si>
  <si>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</si>
  <si>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</si>
  <si>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</si>
  <si>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</si>
  <si>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</si>
  <si>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</si>
  <si>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</si>
  <si>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</si>
  <si>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</si>
  <si>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</si>
  <si>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</si>
  <si>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</si>
  <si>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</si>
  <si>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</si>
  <si>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</si>
  <si>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</si>
  <si>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</si>
  <si>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</si>
  <si>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</si>
  <si>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</si>
  <si>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</si>
  <si>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</si>
  <si>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</si>
  <si>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</si>
  <si>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</si>
  <si>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TOTAIS</t>
  </si>
  <si>
    <t>LIVRO DE VENDAS — 08/06 a 06/08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</si>
  <si>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</si>
  <si>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</si>
  <si>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</si>
  <si>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</si>
  <si>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</si>
  <si>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</si>
  <si>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</si>
  <si>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</si>
  <si>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</si>
  <si>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</si>
  <si>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</si>
  <si>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</si>
  <si>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</si>
  <si>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</si>
  <si>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</si>
  <si>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</si>
  <si>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</si>
  <si>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</si>
  <si>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</si>
  <si>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</si>
  <si>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</si>
  <si>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</si>
  <si>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</si>
  <si>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</si>
  <si>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</si>
  <si>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</si>
  <si>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</si>
  <si>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</si>
  <si>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</si>
  <si>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</si>
  <si>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</si>
  <si>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</si>
  <si>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</si>
  <si>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</si>
  <si>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</si>
  <si>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</si>
  <si>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</si>
  <si>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</si>
  <si>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</si>
  <si>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</si>
  <si>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</si>
  <si>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</si>
  <si>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</si>
  <si>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</si>
  <si>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</si>
  <si>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</si>
  <si>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</si>
  <si>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</si>
  <si>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</si>
  <si>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</si>
  <si>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</si>
  <si>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</si>
  <si>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</si>
  <si>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</si>
  <si>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</si>
  <si>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</si>
  <si>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</si>
  <si>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</si>
  <si>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</si>
  <si>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</si>
  <si>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</si>
  <si>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</si>
  <si>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</si>
  <si>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</si>
  <si>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</si>
  <si>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</si>
  <si>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</si>
  <si>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</si>
  <si>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</si>
  <si>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</si>
  <si>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 (01-06)</t>
  </si>
  <si>
    <t>TOTAL</t>
  </si>
  <si>
    <t>Nota de reconciliação: mapeamento pedido a pedido soma R$ 6.623,52 em Ads vs R$ 6.455,63 do relatório (diferença de ~R$ 168 = zona cinzenta do par PXP+PXM de 02/07, em que um dos itens pode ser orgânico). Retrato global: orgânico ~32-34%.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</si>
  <si>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</si>
  <si>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</si>
  <si>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</si>
  <si>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</si>
  <si>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</si>
  <si>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</si>
  <si>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</si>
  <si>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</si>
  <si>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</si>
  <si>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</si>
  <si>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</si>
  <si>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</si>
  <si>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</si>
  <si>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</si>
  <si>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</si>
  <si>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</si>
  <si>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</si>
  <si>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</si>
  <si>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</si>
  <si>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</si>
  <si>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</si>
  <si>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</si>
  <si>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</si>
  <si>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</si>
  <si>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</si>
  <si>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</si>
  <si>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Capital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</si>
  <si>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</si>
  <si>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</si>
  <si>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</si>
  <si>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</si>
  <si>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</si>
  <si>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</si>
  <si>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</si>
  <si>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</si>
  <si>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</si>
  <si>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</si>
  <si>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</si>
  <si>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</si>
  <si>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</si>
  <si>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</si>
  <si>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</si>
  <si>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</si>
  <si>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</si>
  <si>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</si>
  <si>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</si>
  <si>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</si>
  <si>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</si>
  <si>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</si>
  <si>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</si>
  <si>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</si>
  <si>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</si>
  <si>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</si>
  <si>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</si>
  <si>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</si>
  <si>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</si>
  <si>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</si>
  <si>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</si>
  <si>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</si>
  <si>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</si>
  <si>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</si>
  <si>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</si>
  <si>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Minas Gerais Capital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</si>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</sst>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1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10"/>
      <color rgb="FF0000FF"/>
      <name val="Arial"/>
      <family val="2"/>
    </font>
    <font>
      <u/>
      <sz val="10"/>
      <color rgb="FF0000FF"/>
      <name val="Arial"/>
      <family val="2"/>
      <charset val="1"/>
    </font>
    <font>
      <u/>
      <sz val="10"/>
      <name val="Arial"/>
      <family val="2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5" fontId="9" fillId="0" borderId="1" xfId="0" applyNumberFormat="1" applyFont="1" applyBorder="1" applyAlignment="1"/>
    <xf numFmtId="165" fontId="10" fillId="0" borderId="1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7"/>
  <sheetViews>
    <sheetView tabSelected="1" zoomScaleNormal="100" workbookViewId="0">
      <pane ySplit="5" topLeftCell="A36" activePane="bottomLeft" state="frozen"/>
      <selection pane="bottomLeft" activeCell="J51" sqref="J51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</cols>
  <sheetData>
    <row r="1" spans="1:18" ht="16.5" customHeight="1" x14ac:dyDescent="0.25">
      <c r="A1" s="2" t="s">
        <v>188</v>
      </c>
    </row>
    <row r="2" spans="1:18" ht="15" customHeight="1" x14ac:dyDescent="0.25">
      <c r="A2" s="5" t="s">
        <v>189</v>
      </c>
    </row>
    <row r="3" spans="1:18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8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</row>
    <row r="6" spans="1:18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</row>
    <row r="7" spans="1:18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</row>
    <row r="8" spans="1:18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</row>
    <row r="9" spans="1:18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</row>
    <row r="10" spans="1:18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</row>
    <row r="11" spans="1:18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</row>
    <row r="12" spans="1:18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</row>
    <row r="13" spans="1:18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</row>
    <row r="14" spans="1:18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</row>
    <row r="15" spans="1:18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</row>
    <row r="16" spans="1:18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</row>
    <row r="17" spans="1:18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</row>
    <row r="18" spans="1:18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</row>
    <row r="19" spans="1:18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</row>
    <row r="20" spans="1:18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</row>
    <row r="21" spans="1:18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</row>
    <row r="22" spans="1:18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</row>
    <row r="23" spans="1:18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</row>
    <row r="24" spans="1:18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</row>
    <row r="25" spans="1:18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</row>
    <row r="26" spans="1:18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</row>
    <row r="27" spans="1:18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</row>
    <row r="28" spans="1:18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</row>
    <row r="29" spans="1:18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</row>
    <row r="30" spans="1:18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</row>
    <row r="31" spans="1:18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</row>
    <row r="32" spans="1:18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</row>
    <row r="33" spans="1:18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</row>
    <row r="34" spans="1:18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</row>
    <row r="35" spans="1:18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</row>
    <row r="36" spans="1:18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</row>
    <row r="37" spans="1:18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</row>
    <row r="38" spans="1:18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</row>
    <row r="39" spans="1:18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</row>
    <row r="40" spans="1:18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</row>
    <row r="41" spans="1:18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</row>
    <row r="42" spans="1:18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</row>
    <row r="43" spans="1:18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</row>
    <row r="44" spans="1:18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</row>
    <row r="45" spans="1:18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</row>
    <row r="46" spans="1:18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</row>
    <row r="47" spans="1:18" ht="15" customHeight="1" x14ac:dyDescent="0.25">
      <c r="A47" s="32">
        <v>46260</v>
      </c>
      <c r="B47" s="19" t="s">
        <v>125</v>
      </c>
      <c r="C47" s="19">
        <v>1</v>
      </c>
      <c r="D47" s="19" t="s">
        <v>384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</row>
    <row r="48" spans="1:18" ht="15" customHeight="1" x14ac:dyDescent="0.25">
      <c r="A48" s="32">
        <v>46263</v>
      </c>
      <c r="B48" s="19" t="s">
        <v>126</v>
      </c>
      <c r="C48" s="19">
        <v>1</v>
      </c>
      <c r="D48" s="19" t="s">
        <v>384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47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</row>
    <row r="49" spans="1:18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48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</row>
    <row r="50" spans="1:18" ht="15" customHeight="1" x14ac:dyDescent="0.25">
      <c r="A50" s="32"/>
      <c r="B50" s="19"/>
      <c r="C50" s="19"/>
      <c r="D50" s="19"/>
      <c r="E50" s="20" t="str">
        <f>IF($B50="","",INDEX(Simulador!$D$7:$D$232,MATCH($B50,Simulador!$A$7:$A$232,0)))</f>
        <v/>
      </c>
      <c r="F50" s="20"/>
      <c r="G50" s="47" t="str">
        <f t="shared" si="6"/>
        <v/>
      </c>
      <c r="H50" s="8" t="str">
        <f>IF($B50="","",INDEX(Simulador!$B$7:$B$232,MATCH($B50,Simulador!$A$7:$A$232,0)))</f>
        <v/>
      </c>
      <c r="I50" s="13" t="str">
        <f>IF(OR(H50="",$D50=""),"",INDEX(Ref_Frete!$B$2:$G$54,MATCH($D50,Ref_Frete!$A$2:$A$54,0),IF(H50="Pequenos",2,IF(H50="Medios",4,6))))</f>
        <v/>
      </c>
      <c r="J50" s="20"/>
      <c r="K50" s="20" t="str">
        <f t="shared" si="11"/>
        <v/>
      </c>
      <c r="L50" s="13" t="str">
        <f>IF(OR($B50="",$C50=""),"",$C50*INDEX(Simulador!$F$7:$F$232,MATCH($B50,Simulador!$A$7:$A$232,0)))</f>
        <v/>
      </c>
      <c r="M50" s="13" t="str">
        <f t="shared" si="7"/>
        <v/>
      </c>
      <c r="N50" s="35" t="str">
        <f t="shared" si="8"/>
        <v/>
      </c>
      <c r="O50" s="12" t="str">
        <f t="shared" si="9"/>
        <v/>
      </c>
      <c r="P50" s="22" t="str">
        <f t="shared" si="10"/>
        <v/>
      </c>
      <c r="Q50" s="19"/>
      <c r="R50" s="19"/>
    </row>
    <row r="51" spans="1:18" ht="15" customHeight="1" x14ac:dyDescent="0.25">
      <c r="A51" s="32"/>
      <c r="B51" s="19"/>
      <c r="C51" s="19"/>
      <c r="D51" s="19"/>
      <c r="E51" s="20" t="str">
        <f>IF($B51="","",INDEX(Simulador!$D$7:$D$232,MATCH($B51,Simulador!$A$7:$A$232,0)))</f>
        <v/>
      </c>
      <c r="F51" s="20"/>
      <c r="G51" s="13" t="str">
        <f t="shared" si="6"/>
        <v/>
      </c>
      <c r="H51" s="8" t="str">
        <f>IF($B51="","",INDEX(Simulador!$B$7:$B$232,MATCH($B51,Simulador!$A$7:$A$232,0)))</f>
        <v/>
      </c>
      <c r="I51" s="13" t="str">
        <f>IF(OR(H51="",$D51=""),"",INDEX(Ref_Frete!$B$2:$G$54,MATCH($D51,Ref_Frete!$A$2:$A$54,0),IF(H51="Pequenos",2,IF(H51="Medios",4,6))))</f>
        <v/>
      </c>
      <c r="J51" s="20"/>
      <c r="K51" s="20" t="str">
        <f t="shared" si="11"/>
        <v/>
      </c>
      <c r="L51" s="13" t="str">
        <f>IF(OR($B51="",$C51=""),"",$C51*INDEX(Simulador!$F$7:$F$232,MATCH($B51,Simulador!$A$7:$A$232,0)))</f>
        <v/>
      </c>
      <c r="M51" s="13" t="str">
        <f t="shared" si="7"/>
        <v/>
      </c>
      <c r="N51" s="35" t="str">
        <f t="shared" si="8"/>
        <v/>
      </c>
      <c r="O51" s="12" t="str">
        <f t="shared" si="9"/>
        <v/>
      </c>
      <c r="P51" s="22" t="str">
        <f t="shared" si="10"/>
        <v/>
      </c>
      <c r="Q51" s="19"/>
      <c r="R51" s="19"/>
    </row>
    <row r="52" spans="1:18" ht="15" customHeight="1" x14ac:dyDescent="0.25">
      <c r="A52" s="32"/>
      <c r="B52" s="19"/>
      <c r="C52" s="19"/>
      <c r="D52" s="19"/>
      <c r="E52" s="20" t="str">
        <f>IF($B52="","",INDEX(Simulador!$D$7:$D$232,MATCH($B52,Simulador!$A$7:$A$232,0)))</f>
        <v/>
      </c>
      <c r="F52" s="20"/>
      <c r="G52" s="13" t="str">
        <f t="shared" si="6"/>
        <v/>
      </c>
      <c r="H52" s="8" t="str">
        <f>IF($B52="","",INDEX(Simulador!$B$7:$B$232,MATCH($B52,Simulador!$A$7:$A$232,0)))</f>
        <v/>
      </c>
      <c r="I52" s="13" t="str">
        <f>IF(OR(H52="",$D52=""),"",INDEX(Ref_Frete!$B$2:$G$54,MATCH($D52,Ref_Frete!$A$2:$A$54,0),IF(H52="Pequenos",2,IF(H52="Medios",4,6))))</f>
        <v/>
      </c>
      <c r="J52" s="20"/>
      <c r="K52" s="20" t="str">
        <f t="shared" si="11"/>
        <v/>
      </c>
      <c r="L52" s="13" t="str">
        <f>IF(OR($B52="",$C52=""),"",$C52*INDEX(Simulador!$F$7:$F$232,MATCH($B52,Simulador!$A$7:$A$232,0)))</f>
        <v/>
      </c>
      <c r="M52" s="13" t="str">
        <f t="shared" si="7"/>
        <v/>
      </c>
      <c r="N52" s="35" t="str">
        <f t="shared" si="8"/>
        <v/>
      </c>
      <c r="O52" s="12" t="str">
        <f t="shared" si="9"/>
        <v/>
      </c>
      <c r="P52" s="22" t="str">
        <f t="shared" si="10"/>
        <v/>
      </c>
      <c r="Q52" s="19"/>
      <c r="R52" s="19"/>
    </row>
    <row r="53" spans="1:18" ht="15" customHeight="1" x14ac:dyDescent="0.25">
      <c r="A53" s="32"/>
      <c r="B53" s="19"/>
      <c r="C53" s="19"/>
      <c r="D53" s="19"/>
      <c r="E53" s="20" t="str">
        <f>IF($B53="","",INDEX(Simulador!$D$7:$D$232,MATCH($B53,Simulador!$A$7:$A$232,0)))</f>
        <v/>
      </c>
      <c r="F53" s="20"/>
      <c r="G53" s="13" t="str">
        <f t="shared" si="6"/>
        <v/>
      </c>
      <c r="H53" s="8" t="str">
        <f>IF($B53="","",INDEX(Simulador!$B$7:$B$232,MATCH($B53,Simulador!$A$7:$A$232,0)))</f>
        <v/>
      </c>
      <c r="I53" s="13" t="str">
        <f>IF(OR(H53="",$D53=""),"",INDEX(Ref_Frete!$B$2:$G$54,MATCH($D53,Ref_Frete!$A$2:$A$54,0),IF(H53="Pequenos",2,IF(H53="Medios",4,6))))</f>
        <v/>
      </c>
      <c r="J53" s="20"/>
      <c r="K53" s="20" t="str">
        <f t="shared" si="11"/>
        <v/>
      </c>
      <c r="L53" s="13" t="str">
        <f>IF(OR($B53="",$C53=""),"",$C53*INDEX(Simulador!$F$7:$F$232,MATCH($B53,Simulador!$A$7:$A$232,0)))</f>
        <v/>
      </c>
      <c r="M53" s="13" t="str">
        <f t="shared" si="7"/>
        <v/>
      </c>
      <c r="N53" s="35" t="str">
        <f t="shared" si="8"/>
        <v/>
      </c>
      <c r="O53" s="12" t="str">
        <f t="shared" si="9"/>
        <v/>
      </c>
      <c r="P53" s="22" t="str">
        <f t="shared" si="10"/>
        <v/>
      </c>
      <c r="Q53" s="19"/>
      <c r="R53" s="19"/>
    </row>
    <row r="54" spans="1:18" ht="15" customHeight="1" x14ac:dyDescent="0.25">
      <c r="A54" s="32"/>
      <c r="B54" s="19"/>
      <c r="C54" s="19"/>
      <c r="D54" s="19"/>
      <c r="E54" s="20" t="str">
        <f>IF($B54="","",INDEX(Simulador!$D$7:$D$232,MATCH($B54,Simulador!$A$7:$A$232,0)))</f>
        <v/>
      </c>
      <c r="F54" s="20"/>
      <c r="G54" s="13" t="str">
        <f t="shared" si="6"/>
        <v/>
      </c>
      <c r="H54" s="8" t="str">
        <f>IF($B54="","",INDEX(Simulador!$B$7:$B$232,MATCH($B54,Simulador!$A$7:$A$232,0)))</f>
        <v/>
      </c>
      <c r="I54" s="13" t="str">
        <f>IF(OR(H54="",$D54=""),"",INDEX(Ref_Frete!$B$2:$G$54,MATCH($D54,Ref_Frete!$A$2:$A$54,0),IF(H54="Pequenos",2,IF(H54="Medios",4,6))))</f>
        <v/>
      </c>
      <c r="J54" s="20"/>
      <c r="K54" s="20" t="str">
        <f t="shared" si="11"/>
        <v/>
      </c>
      <c r="L54" s="13" t="str">
        <f>IF(OR($B54="",$C54=""),"",$C54*INDEX(Simulador!$F$7:$F$232,MATCH($B54,Simulador!$A$7:$A$232,0)))</f>
        <v/>
      </c>
      <c r="M54" s="13" t="str">
        <f t="shared" si="7"/>
        <v/>
      </c>
      <c r="N54" s="35" t="str">
        <f t="shared" si="8"/>
        <v/>
      </c>
      <c r="O54" s="12" t="str">
        <f t="shared" si="9"/>
        <v/>
      </c>
      <c r="P54" s="22" t="str">
        <f t="shared" si="10"/>
        <v/>
      </c>
      <c r="Q54" s="19"/>
      <c r="R54" s="19"/>
    </row>
    <row r="55" spans="1:18" ht="15" customHeight="1" x14ac:dyDescent="0.25">
      <c r="A55" s="32"/>
      <c r="B55" s="19"/>
      <c r="C55" s="19"/>
      <c r="D55" s="19"/>
      <c r="E55" s="20" t="str">
        <f>IF($B55="","",INDEX(Simulador!$D$7:$D$232,MATCH($B55,Simulador!$A$7:$A$232,0)))</f>
        <v/>
      </c>
      <c r="F55" s="20"/>
      <c r="G55" s="13" t="str">
        <f t="shared" si="6"/>
        <v/>
      </c>
      <c r="H55" s="8" t="str">
        <f>IF($B55="","",INDEX(Simulador!$B$7:$B$232,MATCH($B55,Simulador!$A$7:$A$232,0)))</f>
        <v/>
      </c>
      <c r="I55" s="13" t="str">
        <f>IF(OR(H55="",$D55=""),"",INDEX(Ref_Frete!$B$2:$G$54,MATCH($D55,Ref_Frete!$A$2:$A$54,0),IF(H55="Pequenos",2,IF(H55="Medios",4,6))))</f>
        <v/>
      </c>
      <c r="J55" s="20"/>
      <c r="K55" s="20" t="str">
        <f t="shared" si="11"/>
        <v/>
      </c>
      <c r="L55" s="13" t="str">
        <f>IF(OR($B55="",$C55=""),"",$C55*INDEX(Simulador!$F$7:$F$232,MATCH($B55,Simulador!$A$7:$A$232,0)))</f>
        <v/>
      </c>
      <c r="M55" s="13" t="str">
        <f t="shared" si="7"/>
        <v/>
      </c>
      <c r="N55" s="35" t="str">
        <f t="shared" si="8"/>
        <v/>
      </c>
      <c r="O55" s="12" t="str">
        <f t="shared" si="9"/>
        <v/>
      </c>
      <c r="P55" s="22" t="str">
        <f t="shared" si="10"/>
        <v/>
      </c>
      <c r="Q55" s="19"/>
      <c r="R55" s="19"/>
    </row>
    <row r="56" spans="1:18" ht="15" customHeight="1" x14ac:dyDescent="0.25">
      <c r="A56" s="32"/>
      <c r="B56" s="19"/>
      <c r="C56" s="19"/>
      <c r="D56" s="19"/>
      <c r="E56" s="20" t="str">
        <f>IF($B56="","",INDEX(Simulador!$D$7:$D$232,MATCH($B56,Simulador!$A$7:$A$232,0)))</f>
        <v/>
      </c>
      <c r="F56" s="20"/>
      <c r="G56" s="13" t="str">
        <f t="shared" si="6"/>
        <v/>
      </c>
      <c r="H56" s="8" t="str">
        <f>IF($B56="","",INDEX(Simulador!$B$7:$B$232,MATCH($B56,Simulador!$A$7:$A$232,0)))</f>
        <v/>
      </c>
      <c r="I56" s="13" t="str">
        <f>IF(OR(H56="",$D56=""),"",INDEX(Ref_Frete!$B$2:$G$54,MATCH($D56,Ref_Frete!$A$2:$A$54,0),IF(H56="Pequenos",2,IF(H56="Medios",4,6))))</f>
        <v/>
      </c>
      <c r="J56" s="20"/>
      <c r="K56" s="20" t="str">
        <f t="shared" si="11"/>
        <v/>
      </c>
      <c r="L56" s="13" t="str">
        <f>IF(OR($B56="",$C56=""),"",$C56*INDEX(Simulador!$F$7:$F$232,MATCH($B56,Simulador!$A$7:$A$232,0)))</f>
        <v/>
      </c>
      <c r="M56" s="13" t="str">
        <f t="shared" si="7"/>
        <v/>
      </c>
      <c r="N56" s="35" t="str">
        <f t="shared" si="8"/>
        <v/>
      </c>
      <c r="O56" s="12" t="str">
        <f t="shared" si="9"/>
        <v/>
      </c>
      <c r="P56" s="22" t="str">
        <f t="shared" si="10"/>
        <v/>
      </c>
      <c r="Q56" s="19"/>
      <c r="R56" s="19"/>
    </row>
    <row r="57" spans="1:18" ht="15" customHeight="1" x14ac:dyDescent="0.25">
      <c r="A57" s="32"/>
      <c r="B57" s="19"/>
      <c r="C57" s="19"/>
      <c r="D57" s="19"/>
      <c r="E57" s="20" t="str">
        <f>IF($B57="","",INDEX(Simulador!$D$7:$D$232,MATCH($B57,Simulador!$A$7:$A$232,0)))</f>
        <v/>
      </c>
      <c r="F57" s="20"/>
      <c r="G57" s="13" t="str">
        <f t="shared" si="6"/>
        <v/>
      </c>
      <c r="H57" s="8" t="str">
        <f>IF($B57="","",INDEX(Simulador!$B$7:$B$232,MATCH($B57,Simulador!$A$7:$A$232,0)))</f>
        <v/>
      </c>
      <c r="I57" s="13" t="str">
        <f>IF(OR(H57="",$D57=""),"",INDEX(Ref_Frete!$B$2:$G$54,MATCH($D57,Ref_Frete!$A$2:$A$54,0),IF(H57="Pequenos",2,IF(H57="Medios",4,6))))</f>
        <v/>
      </c>
      <c r="J57" s="20"/>
      <c r="K57" s="20" t="str">
        <f t="shared" si="11"/>
        <v/>
      </c>
      <c r="L57" s="13" t="str">
        <f>IF(OR($B57="",$C57=""),"",$C57*INDEX(Simulador!$F$7:$F$232,MATCH($B57,Simulador!$A$7:$A$232,0)))</f>
        <v/>
      </c>
      <c r="M57" s="13" t="str">
        <f t="shared" si="7"/>
        <v/>
      </c>
      <c r="N57" s="35" t="str">
        <f t="shared" si="8"/>
        <v/>
      </c>
      <c r="O57" s="12" t="str">
        <f t="shared" si="9"/>
        <v/>
      </c>
      <c r="P57" s="22" t="str">
        <f t="shared" si="10"/>
        <v/>
      </c>
      <c r="Q57" s="19"/>
      <c r="R57" s="19"/>
    </row>
    <row r="58" spans="1:18" ht="15" customHeight="1" x14ac:dyDescent="0.25">
      <c r="A58" s="32"/>
      <c r="B58" s="19"/>
      <c r="C58" s="19"/>
      <c r="D58" s="19"/>
      <c r="E58" s="20" t="str">
        <f>IF($B58="","",INDEX(Simulador!$D$7:$D$232,MATCH($B58,Simulador!$A$7:$A$232,0)))</f>
        <v/>
      </c>
      <c r="F58" s="20"/>
      <c r="G58" s="13" t="str">
        <f t="shared" si="6"/>
        <v/>
      </c>
      <c r="H58" s="8" t="str">
        <f>IF($B58="","",INDEX(Simulador!$B$7:$B$232,MATCH($B58,Simulador!$A$7:$A$232,0)))</f>
        <v/>
      </c>
      <c r="I58" s="13" t="str">
        <f>IF(OR(H58="",$D58=""),"",INDEX(Ref_Frete!$B$2:$G$54,MATCH($D58,Ref_Frete!$A$2:$A$54,0),IF(H58="Pequenos",2,IF(H58="Medios",4,6))))</f>
        <v/>
      </c>
      <c r="J58" s="20"/>
      <c r="K58" s="20" t="str">
        <f t="shared" si="11"/>
        <v/>
      </c>
      <c r="L58" s="13" t="str">
        <f>IF(OR($B58="",$C58=""),"",$C58*INDEX(Simulador!$F$7:$F$232,MATCH($B58,Simulador!$A$7:$A$232,0)))</f>
        <v/>
      </c>
      <c r="M58" s="13" t="str">
        <f t="shared" si="7"/>
        <v/>
      </c>
      <c r="N58" s="35" t="str">
        <f t="shared" si="8"/>
        <v/>
      </c>
      <c r="O58" s="12" t="str">
        <f t="shared" si="9"/>
        <v/>
      </c>
      <c r="P58" s="22" t="str">
        <f t="shared" si="10"/>
        <v/>
      </c>
      <c r="Q58" s="19"/>
      <c r="R58" s="19"/>
    </row>
    <row r="59" spans="1:18" ht="15" customHeight="1" x14ac:dyDescent="0.25">
      <c r="A59" s="32"/>
      <c r="B59" s="19"/>
      <c r="C59" s="19"/>
      <c r="D59" s="19"/>
      <c r="E59" s="20" t="str">
        <f>IF($B59="","",INDEX(Simulador!$D$7:$D$232,MATCH($B59,Simulador!$A$7:$A$232,0)))</f>
        <v/>
      </c>
      <c r="F59" s="20"/>
      <c r="G59" s="13" t="str">
        <f t="shared" si="6"/>
        <v/>
      </c>
      <c r="H59" s="8" t="str">
        <f>IF($B59="","",INDEX(Simulador!$B$7:$B$232,MATCH($B59,Simulador!$A$7:$A$232,0)))</f>
        <v/>
      </c>
      <c r="I59" s="13" t="str">
        <f>IF(OR(H59="",$D59=""),"",INDEX(Ref_Frete!$B$2:$G$54,MATCH($D59,Ref_Frete!$A$2:$A$54,0),IF(H59="Pequenos",2,IF(H59="Medios",4,6))))</f>
        <v/>
      </c>
      <c r="J59" s="20"/>
      <c r="K59" s="20" t="str">
        <f t="shared" si="11"/>
        <v/>
      </c>
      <c r="L59" s="13" t="str">
        <f>IF(OR($B59="",$C59=""),"",$C59*INDEX(Simulador!$F$7:$F$232,MATCH($B59,Simulador!$A$7:$A$232,0)))</f>
        <v/>
      </c>
      <c r="M59" s="13" t="str">
        <f t="shared" si="7"/>
        <v/>
      </c>
      <c r="N59" s="35" t="str">
        <f t="shared" si="8"/>
        <v/>
      </c>
      <c r="O59" s="12" t="str">
        <f t="shared" si="9"/>
        <v/>
      </c>
      <c r="P59" s="22" t="str">
        <f t="shared" si="10"/>
        <v/>
      </c>
      <c r="Q59" s="19"/>
      <c r="R59" s="19"/>
    </row>
    <row r="60" spans="1:18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</row>
    <row r="61" spans="1:18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8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8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8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247</v>
      </c>
      <c r="G108" s="38">
        <f>SUM(G6:G107)</f>
        <v>20477.790000000008</v>
      </c>
      <c r="K108" s="38">
        <f>SUM(K6:K107)</f>
        <v>3103.0700000000006</v>
      </c>
      <c r="L108" s="38">
        <f>SUM(L6:L107)</f>
        <v>10784.440000000002</v>
      </c>
      <c r="M108" s="38">
        <f>SUM(M6:M107)</f>
        <v>2047.7790000000007</v>
      </c>
      <c r="N108" s="38">
        <f>SUM(N6:N107)</f>
        <v>5138.5710000000008</v>
      </c>
      <c r="O108" s="39">
        <f>IF(G108=0,"",N108/G108)</f>
        <v>0.25093386542200102</v>
      </c>
    </row>
    <row r="117" spans="1:1" ht="15" customHeight="1" x14ac:dyDescent="0.25">
      <c r="A117" s="40"/>
    </row>
  </sheetData>
  <dataValidations count="1">
    <dataValidation type="list" allowBlank="1" sqref="R6:R107">
      <formula1>"Ads,Orgânico,Conferir"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248</v>
      </c>
    </row>
    <row r="2" spans="1:6" ht="84.75" customHeight="1" x14ac:dyDescent="0.25">
      <c r="A2" s="5" t="s">
        <v>249</v>
      </c>
    </row>
    <row r="4" spans="1:6" ht="15" customHeight="1" x14ac:dyDescent="0.25">
      <c r="A4" s="41" t="s">
        <v>192</v>
      </c>
      <c r="B4" s="41" t="s">
        <v>250</v>
      </c>
      <c r="C4" s="41" t="s">
        <v>251</v>
      </c>
      <c r="D4" s="41" t="s">
        <v>252</v>
      </c>
      <c r="E4" s="41" t="s">
        <v>205</v>
      </c>
      <c r="F4" s="41" t="s">
        <v>253</v>
      </c>
    </row>
    <row r="5" spans="1:6" ht="15" customHeight="1" x14ac:dyDescent="0.25">
      <c r="A5" s="8" t="s">
        <v>254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255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256</v>
      </c>
    </row>
    <row r="7" spans="1:6" ht="15" customHeight="1" x14ac:dyDescent="0.25">
      <c r="A7" s="8" t="s">
        <v>257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258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259</v>
      </c>
    </row>
    <row r="9" spans="1:6" ht="15" customHeight="1" x14ac:dyDescent="0.25">
      <c r="A9" s="8" t="s">
        <v>260</v>
      </c>
      <c r="B9" s="13">
        <v>203.16</v>
      </c>
      <c r="C9" s="8">
        <v>1</v>
      </c>
      <c r="D9" s="8" t="s">
        <v>261</v>
      </c>
      <c r="E9" s="9" t="s">
        <v>210</v>
      </c>
      <c r="F9" s="8" t="s">
        <v>262</v>
      </c>
    </row>
    <row r="10" spans="1:6" ht="15" customHeight="1" x14ac:dyDescent="0.25">
      <c r="A10" s="8" t="s">
        <v>263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264</v>
      </c>
    </row>
    <row r="11" spans="1:6" ht="15" customHeight="1" x14ac:dyDescent="0.25">
      <c r="A11" s="8" t="s">
        <v>265</v>
      </c>
      <c r="B11" s="13">
        <v>335.78</v>
      </c>
      <c r="C11" s="8">
        <v>2</v>
      </c>
      <c r="D11" s="8" t="s">
        <v>266</v>
      </c>
      <c r="E11" s="7" t="s">
        <v>207</v>
      </c>
      <c r="F11" s="8" t="s">
        <v>267</v>
      </c>
    </row>
    <row r="12" spans="1:6" ht="15" customHeight="1" x14ac:dyDescent="0.25">
      <c r="A12" s="8" t="s">
        <v>268</v>
      </c>
      <c r="B12" s="13">
        <v>942.98</v>
      </c>
      <c r="C12" s="8">
        <v>2</v>
      </c>
      <c r="D12" s="8" t="s">
        <v>269</v>
      </c>
      <c r="E12" s="9" t="s">
        <v>210</v>
      </c>
      <c r="F12" s="8" t="s">
        <v>270</v>
      </c>
    </row>
    <row r="13" spans="1:6" ht="15" customHeight="1" x14ac:dyDescent="0.25">
      <c r="A13" s="8" t="s">
        <v>271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272</v>
      </c>
      <c r="B14" s="13">
        <v>371.43</v>
      </c>
      <c r="C14" s="8">
        <v>2</v>
      </c>
      <c r="D14" s="8" t="s">
        <v>273</v>
      </c>
      <c r="E14" s="9" t="s">
        <v>210</v>
      </c>
      <c r="F14" s="8" t="s">
        <v>274</v>
      </c>
    </row>
    <row r="15" spans="1:6" ht="15" customHeight="1" x14ac:dyDescent="0.25">
      <c r="A15" s="8" t="s">
        <v>275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276</v>
      </c>
    </row>
    <row r="16" spans="1:6" ht="15" customHeight="1" x14ac:dyDescent="0.25">
      <c r="A16" s="8" t="s">
        <v>277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278</v>
      </c>
    </row>
    <row r="17" spans="1:6" ht="15" customHeight="1" x14ac:dyDescent="0.25">
      <c r="A17" s="8" t="s">
        <v>279</v>
      </c>
      <c r="B17" s="13">
        <v>610.62</v>
      </c>
      <c r="C17" s="8">
        <v>3</v>
      </c>
      <c r="D17" s="8" t="s">
        <v>280</v>
      </c>
      <c r="E17" s="9" t="s">
        <v>210</v>
      </c>
      <c r="F17" s="8" t="s">
        <v>281</v>
      </c>
    </row>
    <row r="18" spans="1:6" ht="15" customHeight="1" x14ac:dyDescent="0.25">
      <c r="A18" s="8" t="s">
        <v>282</v>
      </c>
      <c r="B18" s="13">
        <v>583.66999999999996</v>
      </c>
      <c r="C18" s="8">
        <v>2</v>
      </c>
      <c r="D18" s="8" t="s">
        <v>283</v>
      </c>
      <c r="E18" s="9" t="s">
        <v>210</v>
      </c>
      <c r="F18" s="8" t="s">
        <v>284</v>
      </c>
    </row>
    <row r="19" spans="1:6" ht="15" customHeight="1" x14ac:dyDescent="0.25">
      <c r="A19" s="8" t="s">
        <v>285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286</v>
      </c>
    </row>
    <row r="20" spans="1:6" ht="15" customHeight="1" x14ac:dyDescent="0.25">
      <c r="A20" s="8" t="s">
        <v>287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288</v>
      </c>
    </row>
    <row r="21" spans="1:6" ht="15" customHeight="1" x14ac:dyDescent="0.25">
      <c r="A21" s="8" t="s">
        <v>289</v>
      </c>
      <c r="B21" s="13">
        <v>497.34</v>
      </c>
      <c r="C21" s="8">
        <v>4</v>
      </c>
      <c r="D21" s="8" t="s">
        <v>290</v>
      </c>
      <c r="E21" s="9" t="s">
        <v>210</v>
      </c>
      <c r="F21" s="8" t="s">
        <v>291</v>
      </c>
    </row>
    <row r="22" spans="1:6" ht="15" customHeight="1" x14ac:dyDescent="0.25">
      <c r="A22" s="8" t="s">
        <v>292</v>
      </c>
      <c r="B22" s="13">
        <v>153.72</v>
      </c>
      <c r="C22" s="8">
        <v>1</v>
      </c>
      <c r="D22" s="8" t="s">
        <v>293</v>
      </c>
      <c r="E22" s="7" t="s">
        <v>207</v>
      </c>
      <c r="F22" s="8" t="s">
        <v>294</v>
      </c>
    </row>
    <row r="23" spans="1:6" ht="15" customHeight="1" x14ac:dyDescent="0.25">
      <c r="A23" s="8" t="s">
        <v>295</v>
      </c>
      <c r="B23" s="13">
        <v>674.62</v>
      </c>
      <c r="C23" s="8">
        <v>1</v>
      </c>
      <c r="D23" s="8" t="s">
        <v>296</v>
      </c>
      <c r="E23" s="7" t="s">
        <v>207</v>
      </c>
      <c r="F23" s="8" t="s">
        <v>297</v>
      </c>
    </row>
    <row r="24" spans="1:6" ht="15" customHeight="1" x14ac:dyDescent="0.25">
      <c r="A24" s="8" t="s">
        <v>298</v>
      </c>
      <c r="B24" s="13">
        <v>396.06</v>
      </c>
      <c r="C24" s="8">
        <v>2</v>
      </c>
      <c r="D24" s="8" t="s">
        <v>299</v>
      </c>
      <c r="E24" s="9" t="s">
        <v>210</v>
      </c>
      <c r="F24" s="8" t="s">
        <v>300</v>
      </c>
    </row>
    <row r="25" spans="1:6" ht="15" customHeight="1" x14ac:dyDescent="0.25">
      <c r="A25" s="8" t="s">
        <v>301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302</v>
      </c>
    </row>
    <row r="26" spans="1:6" ht="15" customHeight="1" x14ac:dyDescent="0.25">
      <c r="A26" s="8" t="s">
        <v>303</v>
      </c>
      <c r="B26" s="13">
        <v>503.67</v>
      </c>
      <c r="C26" s="8">
        <v>3</v>
      </c>
      <c r="D26" s="8" t="s">
        <v>304</v>
      </c>
      <c r="E26" s="9" t="s">
        <v>210</v>
      </c>
      <c r="F26" s="8" t="s">
        <v>305</v>
      </c>
    </row>
    <row r="27" spans="1:6" ht="15" customHeight="1" x14ac:dyDescent="0.25">
      <c r="A27" s="8" t="s">
        <v>306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307</v>
      </c>
    </row>
    <row r="28" spans="1:6" ht="15" customHeight="1" x14ac:dyDescent="0.25">
      <c r="A28" s="8" t="s">
        <v>308</v>
      </c>
      <c r="B28" s="13">
        <v>398.7</v>
      </c>
      <c r="C28" s="8">
        <v>3</v>
      </c>
      <c r="D28" s="8" t="s">
        <v>309</v>
      </c>
      <c r="E28" s="9" t="s">
        <v>210</v>
      </c>
      <c r="F28" s="8" t="s">
        <v>310</v>
      </c>
    </row>
    <row r="30" spans="1:6" ht="15" customHeight="1" x14ac:dyDescent="0.25">
      <c r="A30" s="3" t="s">
        <v>311</v>
      </c>
    </row>
    <row r="31" spans="1:6" ht="15" customHeight="1" x14ac:dyDescent="0.25">
      <c r="A31" s="6" t="s">
        <v>312</v>
      </c>
      <c r="B31" s="6" t="s">
        <v>313</v>
      </c>
      <c r="C31" s="6" t="s">
        <v>314</v>
      </c>
      <c r="D31" s="6" t="s">
        <v>315</v>
      </c>
      <c r="E31" s="6" t="s">
        <v>316</v>
      </c>
    </row>
    <row r="32" spans="1:6" ht="15" customHeight="1" x14ac:dyDescent="0.25">
      <c r="A32" s="8" t="s">
        <v>317</v>
      </c>
      <c r="B32" s="13">
        <v>3312.09</v>
      </c>
      <c r="C32" s="13">
        <v>2346.75</v>
      </c>
      <c r="D32" s="13">
        <v>965.34</v>
      </c>
      <c r="E32" s="39">
        <v>0.29145947121002203</v>
      </c>
    </row>
    <row r="33" spans="1:5" ht="15" customHeight="1" x14ac:dyDescent="0.25">
      <c r="A33" s="8" t="s">
        <v>318</v>
      </c>
      <c r="B33" s="13">
        <v>4856.63</v>
      </c>
      <c r="C33" s="13">
        <v>2830.55</v>
      </c>
      <c r="D33" s="13">
        <v>2026.08</v>
      </c>
      <c r="E33" s="39">
        <v>0.41717816675349001</v>
      </c>
    </row>
    <row r="34" spans="1:5" ht="15" customHeight="1" x14ac:dyDescent="0.25">
      <c r="A34" s="8" t="s">
        <v>319</v>
      </c>
      <c r="B34" s="13">
        <v>1562.22</v>
      </c>
      <c r="C34" s="13">
        <v>1446.22</v>
      </c>
      <c r="D34" s="13">
        <v>116</v>
      </c>
      <c r="E34" s="39">
        <v>7.4253306192469698E-2</v>
      </c>
    </row>
    <row r="35" spans="1:5" ht="15" customHeight="1" x14ac:dyDescent="0.25">
      <c r="A35" s="22" t="s">
        <v>320</v>
      </c>
      <c r="B35" s="38">
        <v>9730.94</v>
      </c>
      <c r="C35" s="38">
        <v>6623.52</v>
      </c>
      <c r="D35" s="38">
        <v>3107.42</v>
      </c>
      <c r="E35" s="39">
        <v>0.319334000620701</v>
      </c>
    </row>
    <row r="37" spans="1:5" ht="294" customHeight="1" x14ac:dyDescent="0.25">
      <c r="A37" s="42" t="s">
        <v>321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322</v>
      </c>
    </row>
    <row r="2" spans="1:18" ht="15" customHeight="1" x14ac:dyDescent="0.25">
      <c r="A2" s="5" t="s">
        <v>323</v>
      </c>
    </row>
    <row r="3" spans="1:18" ht="15" customHeight="1" x14ac:dyDescent="0.25">
      <c r="A3" s="3" t="s">
        <v>190</v>
      </c>
      <c r="B3" s="17">
        <v>0.1</v>
      </c>
      <c r="C3" s="3" t="s">
        <v>324</v>
      </c>
      <c r="E3" s="17">
        <v>0.13500000000000001</v>
      </c>
      <c r="F3" s="5" t="s">
        <v>325</v>
      </c>
    </row>
    <row r="4" spans="1:18" ht="15" customHeight="1" x14ac:dyDescent="0.25">
      <c r="A4" s="5" t="s">
        <v>326</v>
      </c>
    </row>
    <row r="5" spans="1:18" ht="38.25" customHeight="1" x14ac:dyDescent="0.25">
      <c r="A5" s="18" t="s">
        <v>327</v>
      </c>
      <c r="B5" s="18" t="s">
        <v>328</v>
      </c>
      <c r="C5" s="18" t="s">
        <v>329</v>
      </c>
      <c r="D5" s="18" t="s">
        <v>330</v>
      </c>
      <c r="E5" s="18" t="s">
        <v>331</v>
      </c>
      <c r="F5" s="18" t="s">
        <v>332</v>
      </c>
      <c r="G5" s="18" t="s">
        <v>333</v>
      </c>
      <c r="H5" s="18" t="s">
        <v>334</v>
      </c>
      <c r="I5" s="18" t="s">
        <v>335</v>
      </c>
      <c r="J5" s="18" t="s">
        <v>85</v>
      </c>
      <c r="K5" s="18" t="s">
        <v>336</v>
      </c>
      <c r="L5" s="18" t="s">
        <v>89</v>
      </c>
      <c r="M5" s="18" t="s">
        <v>90</v>
      </c>
      <c r="N5" s="18" t="s">
        <v>337</v>
      </c>
      <c r="O5" s="18"/>
      <c r="P5" s="18" t="s">
        <v>338</v>
      </c>
      <c r="Q5" s="18" t="s">
        <v>339</v>
      </c>
      <c r="R5" s="18" t="s">
        <v>18</v>
      </c>
    </row>
    <row r="6" spans="1:18" ht="15" customHeight="1" x14ac:dyDescent="0.25">
      <c r="A6" s="33" t="s">
        <v>340</v>
      </c>
      <c r="B6" s="33">
        <v>45</v>
      </c>
      <c r="C6" s="33">
        <v>26</v>
      </c>
      <c r="D6" s="33">
        <v>26</v>
      </c>
      <c r="E6" s="33">
        <v>3</v>
      </c>
      <c r="F6" s="43">
        <f>IF(OR(B6="",C6="",D6=""),"",ROUND(B6*C6*D6/6000,2))</f>
        <v>5.07</v>
      </c>
      <c r="G6" s="43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44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45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3"/>
      <c r="G7" s="43"/>
      <c r="H7" s="8" t="str">
        <f t="shared" si="0"/>
        <v/>
      </c>
      <c r="I7" s="33"/>
      <c r="J7" s="20"/>
      <c r="K7" s="21"/>
      <c r="L7" s="13"/>
      <c r="M7" s="13"/>
      <c r="N7" s="35"/>
      <c r="O7" s="45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3"/>
      <c r="G8" s="43"/>
      <c r="H8" s="8" t="str">
        <f t="shared" si="0"/>
        <v/>
      </c>
      <c r="I8" s="33"/>
      <c r="J8" s="20"/>
      <c r="K8" s="21"/>
      <c r="L8" s="13"/>
      <c r="M8" s="13"/>
      <c r="N8" s="35"/>
      <c r="O8" s="45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3"/>
      <c r="G9" s="43"/>
      <c r="H9" s="8" t="str">
        <f t="shared" si="0"/>
        <v/>
      </c>
      <c r="I9" s="33"/>
      <c r="J9" s="20"/>
      <c r="K9" s="21"/>
      <c r="L9" s="13"/>
      <c r="M9" s="13"/>
      <c r="N9" s="35"/>
      <c r="O9" s="45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3"/>
      <c r="G10" s="43"/>
      <c r="H10" s="8" t="str">
        <f t="shared" si="0"/>
        <v/>
      </c>
      <c r="I10" s="33"/>
      <c r="J10" s="20"/>
      <c r="K10" s="21"/>
      <c r="L10" s="13"/>
      <c r="M10" s="13"/>
      <c r="N10" s="35"/>
      <c r="O10" s="45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3"/>
      <c r="G11" s="43"/>
      <c r="H11" s="8" t="str">
        <f t="shared" si="0"/>
        <v/>
      </c>
      <c r="I11" s="33"/>
      <c r="J11" s="20"/>
      <c r="K11" s="21"/>
      <c r="L11" s="13"/>
      <c r="M11" s="13"/>
      <c r="N11" s="35"/>
      <c r="O11" s="45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3"/>
      <c r="G12" s="43"/>
      <c r="H12" s="8" t="str">
        <f t="shared" si="0"/>
        <v/>
      </c>
      <c r="I12" s="33"/>
      <c r="J12" s="20"/>
      <c r="K12" s="21"/>
      <c r="L12" s="13"/>
      <c r="M12" s="13"/>
      <c r="N12" s="35"/>
      <c r="O12" s="45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3"/>
      <c r="G13" s="43"/>
      <c r="H13" s="8" t="str">
        <f t="shared" si="0"/>
        <v/>
      </c>
      <c r="I13" s="33"/>
      <c r="J13" s="20"/>
      <c r="K13" s="21"/>
      <c r="L13" s="13"/>
      <c r="M13" s="13"/>
      <c r="N13" s="35"/>
      <c r="O13" s="45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3"/>
      <c r="G14" s="43"/>
      <c r="H14" s="8" t="str">
        <f t="shared" si="0"/>
        <v/>
      </c>
      <c r="I14" s="33"/>
      <c r="J14" s="20"/>
      <c r="K14" s="21"/>
      <c r="L14" s="13"/>
      <c r="M14" s="13"/>
      <c r="N14" s="35"/>
      <c r="O14" s="45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3"/>
      <c r="G15" s="43"/>
      <c r="H15" s="8" t="str">
        <f t="shared" si="0"/>
        <v/>
      </c>
      <c r="I15" s="33"/>
      <c r="J15" s="20"/>
      <c r="K15" s="21"/>
      <c r="L15" s="13"/>
      <c r="M15" s="13"/>
      <c r="N15" s="35"/>
      <c r="O15" s="45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3"/>
      <c r="G16" s="43"/>
      <c r="H16" s="8" t="str">
        <f t="shared" si="0"/>
        <v/>
      </c>
      <c r="I16" s="33"/>
      <c r="J16" s="20"/>
      <c r="K16" s="21"/>
      <c r="L16" s="13"/>
      <c r="M16" s="13"/>
      <c r="N16" s="35"/>
      <c r="O16" s="45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3"/>
      <c r="G17" s="43"/>
      <c r="H17" s="8" t="str">
        <f t="shared" si="0"/>
        <v/>
      </c>
      <c r="I17" s="33"/>
      <c r="J17" s="20"/>
      <c r="K17" s="21"/>
      <c r="L17" s="13"/>
      <c r="M17" s="13"/>
      <c r="N17" s="35"/>
      <c r="O17" s="45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3"/>
      <c r="G18" s="43"/>
      <c r="H18" s="8" t="str">
        <f t="shared" si="0"/>
        <v/>
      </c>
      <c r="I18" s="33"/>
      <c r="J18" s="20"/>
      <c r="K18" s="21"/>
      <c r="L18" s="13"/>
      <c r="M18" s="13"/>
      <c r="N18" s="35"/>
      <c r="O18" s="45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3" t="str">
        <f t="shared" ref="F19:F25" si="1">IF(OR(B19="",C19="",D19=""),"",ROUND(B19*C19*D19/6000,2))</f>
        <v/>
      </c>
      <c r="G19" s="43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45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3" t="str">
        <f t="shared" si="1"/>
        <v/>
      </c>
      <c r="G20" s="43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45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3" t="str">
        <f t="shared" si="1"/>
        <v/>
      </c>
      <c r="G21" s="43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45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3" t="str">
        <f t="shared" si="1"/>
        <v/>
      </c>
      <c r="G22" s="43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45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3" t="str">
        <f t="shared" si="1"/>
        <v/>
      </c>
      <c r="G23" s="43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45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3" t="str">
        <f t="shared" si="1"/>
        <v/>
      </c>
      <c r="G24" s="43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45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3" t="str">
        <f t="shared" si="1"/>
        <v/>
      </c>
      <c r="G25" s="43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45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1" t="s">
        <v>82</v>
      </c>
      <c r="B1" s="41" t="s">
        <v>341</v>
      </c>
      <c r="C1" s="41" t="s">
        <v>342</v>
      </c>
      <c r="D1" s="41" t="s">
        <v>343</v>
      </c>
      <c r="E1" s="41" t="s">
        <v>344</v>
      </c>
      <c r="F1" s="41" t="s">
        <v>345</v>
      </c>
      <c r="G1" s="41" t="s">
        <v>346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347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348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349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350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351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352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353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354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355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356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357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358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359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360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361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362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363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364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365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366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367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368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369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370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371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372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373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374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375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376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377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378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379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380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381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382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383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384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385</v>
      </c>
    </row>
    <row r="2" spans="1:8" ht="15" customHeight="1" x14ac:dyDescent="0.25">
      <c r="A2" s="5" t="s">
        <v>386</v>
      </c>
    </row>
    <row r="4" spans="1:8" ht="38.25" customHeight="1" x14ac:dyDescent="0.25">
      <c r="A4" s="18" t="s">
        <v>27</v>
      </c>
      <c r="B4" s="18" t="s">
        <v>387</v>
      </c>
      <c r="C4" s="18" t="s">
        <v>388</v>
      </c>
      <c r="D4" s="18" t="s">
        <v>331</v>
      </c>
      <c r="E4" s="18" t="s">
        <v>332</v>
      </c>
      <c r="F4" s="18" t="s">
        <v>333</v>
      </c>
      <c r="G4" s="18" t="s">
        <v>389</v>
      </c>
      <c r="H4" s="18" t="s">
        <v>94</v>
      </c>
    </row>
    <row r="5" spans="1:8" ht="26.25" customHeight="1" x14ac:dyDescent="0.25">
      <c r="A5" s="8" t="s">
        <v>112</v>
      </c>
      <c r="B5" s="8" t="s">
        <v>390</v>
      </c>
      <c r="C5" s="8" t="s">
        <v>391</v>
      </c>
      <c r="D5" s="8">
        <v>3</v>
      </c>
      <c r="E5" s="8">
        <v>5.21</v>
      </c>
      <c r="F5" s="8">
        <v>5.21</v>
      </c>
      <c r="G5" s="7" t="s">
        <v>392</v>
      </c>
      <c r="H5" s="46" t="s">
        <v>393</v>
      </c>
    </row>
    <row r="6" spans="1:8" ht="26.25" customHeight="1" x14ac:dyDescent="0.25">
      <c r="A6" s="8" t="s">
        <v>113</v>
      </c>
      <c r="B6" s="8" t="s">
        <v>394</v>
      </c>
      <c r="C6" s="8" t="s">
        <v>391</v>
      </c>
      <c r="D6" s="8">
        <v>3</v>
      </c>
      <c r="E6" s="8">
        <v>5.21</v>
      </c>
      <c r="F6" s="8">
        <v>5.21</v>
      </c>
      <c r="G6" s="7" t="s">
        <v>392</v>
      </c>
      <c r="H6" s="46" t="s">
        <v>393</v>
      </c>
    </row>
    <row r="7" spans="1:8" ht="26.25" customHeight="1" x14ac:dyDescent="0.25">
      <c r="A7" s="8" t="s">
        <v>114</v>
      </c>
      <c r="B7" s="8" t="s">
        <v>395</v>
      </c>
      <c r="C7" s="8" t="s">
        <v>391</v>
      </c>
      <c r="D7" s="8">
        <v>3</v>
      </c>
      <c r="E7" s="8">
        <v>5.21</v>
      </c>
      <c r="F7" s="8">
        <v>5.21</v>
      </c>
      <c r="G7" s="7" t="s">
        <v>392</v>
      </c>
      <c r="H7" s="46" t="s">
        <v>393</v>
      </c>
    </row>
    <row r="8" spans="1:8" ht="26.25" customHeight="1" x14ac:dyDescent="0.25">
      <c r="A8" s="8" t="s">
        <v>116</v>
      </c>
      <c r="B8" s="8" t="s">
        <v>396</v>
      </c>
      <c r="C8" s="8" t="s">
        <v>391</v>
      </c>
      <c r="D8" s="8">
        <v>3</v>
      </c>
      <c r="E8" s="8">
        <v>5.21</v>
      </c>
      <c r="F8" s="8">
        <v>5.21</v>
      </c>
      <c r="G8" s="7" t="s">
        <v>392</v>
      </c>
      <c r="H8" s="46" t="s">
        <v>393</v>
      </c>
    </row>
    <row r="9" spans="1:8" ht="26.25" customHeight="1" x14ac:dyDescent="0.25">
      <c r="A9" s="8" t="s">
        <v>38</v>
      </c>
      <c r="B9" s="8" t="s">
        <v>397</v>
      </c>
      <c r="C9" s="8" t="s">
        <v>391</v>
      </c>
      <c r="D9" s="8">
        <v>3</v>
      </c>
      <c r="E9" s="8">
        <v>5.21</v>
      </c>
      <c r="F9" s="8">
        <v>5.21</v>
      </c>
      <c r="G9" s="7" t="s">
        <v>392</v>
      </c>
      <c r="H9" s="46" t="s">
        <v>393</v>
      </c>
    </row>
    <row r="10" spans="1:8" ht="26.25" customHeight="1" x14ac:dyDescent="0.25">
      <c r="A10" s="8" t="s">
        <v>117</v>
      </c>
      <c r="B10" s="8" t="s">
        <v>398</v>
      </c>
      <c r="C10" s="8" t="s">
        <v>391</v>
      </c>
      <c r="D10" s="8">
        <v>3</v>
      </c>
      <c r="E10" s="8">
        <v>5.21</v>
      </c>
      <c r="F10" s="8">
        <v>5.21</v>
      </c>
      <c r="G10" s="7" t="s">
        <v>392</v>
      </c>
      <c r="H10" s="46" t="s">
        <v>393</v>
      </c>
    </row>
    <row r="11" spans="1:8" ht="26.25" customHeight="1" x14ac:dyDescent="0.25">
      <c r="A11" s="8" t="s">
        <v>115</v>
      </c>
      <c r="B11" s="8" t="s">
        <v>399</v>
      </c>
      <c r="C11" s="8" t="s">
        <v>391</v>
      </c>
      <c r="D11" s="8">
        <v>3</v>
      </c>
      <c r="E11" s="8">
        <v>5.21</v>
      </c>
      <c r="F11" s="8">
        <v>5.21</v>
      </c>
      <c r="G11" s="7" t="s">
        <v>392</v>
      </c>
      <c r="H11" s="46" t="s">
        <v>393</v>
      </c>
    </row>
    <row r="12" spans="1:8" ht="26.25" customHeight="1" x14ac:dyDescent="0.25">
      <c r="A12" s="8" t="s">
        <v>123</v>
      </c>
      <c r="B12" s="8" t="s">
        <v>400</v>
      </c>
      <c r="C12" s="8" t="s">
        <v>391</v>
      </c>
      <c r="D12" s="8">
        <v>3</v>
      </c>
      <c r="E12" s="8">
        <v>5.21</v>
      </c>
      <c r="F12" s="8">
        <v>5.21</v>
      </c>
      <c r="G12" s="7" t="s">
        <v>392</v>
      </c>
      <c r="H12" s="46" t="s">
        <v>393</v>
      </c>
    </row>
    <row r="13" spans="1:8" ht="26.25" customHeight="1" x14ac:dyDescent="0.25">
      <c r="A13" s="8" t="s">
        <v>124</v>
      </c>
      <c r="B13" s="8" t="s">
        <v>401</v>
      </c>
      <c r="C13" s="8" t="s">
        <v>391</v>
      </c>
      <c r="D13" s="8">
        <v>3</v>
      </c>
      <c r="E13" s="8">
        <v>5.21</v>
      </c>
      <c r="F13" s="8">
        <v>5.21</v>
      </c>
      <c r="G13" s="7" t="s">
        <v>392</v>
      </c>
      <c r="H13" s="46" t="s">
        <v>393</v>
      </c>
    </row>
    <row r="14" spans="1:8" ht="15" customHeight="1" x14ac:dyDescent="0.25">
      <c r="A14" s="8" t="s">
        <v>103</v>
      </c>
      <c r="B14" s="8" t="s">
        <v>402</v>
      </c>
      <c r="C14" s="8" t="s">
        <v>403</v>
      </c>
      <c r="D14" s="8">
        <v>3</v>
      </c>
      <c r="E14" s="8">
        <v>4.6100000000000003</v>
      </c>
      <c r="F14" s="8">
        <v>4.6100000000000003</v>
      </c>
      <c r="G14" s="7" t="s">
        <v>392</v>
      </c>
      <c r="H14" s="46"/>
    </row>
    <row r="15" spans="1:8" ht="26.25" customHeight="1" x14ac:dyDescent="0.25">
      <c r="A15" s="8" t="s">
        <v>125</v>
      </c>
      <c r="B15" s="8" t="s">
        <v>404</v>
      </c>
      <c r="C15" s="8" t="s">
        <v>405</v>
      </c>
      <c r="D15" s="8">
        <v>2.5</v>
      </c>
      <c r="E15" s="8">
        <v>3.5</v>
      </c>
      <c r="F15" s="8">
        <v>3.5</v>
      </c>
      <c r="G15" s="7" t="s">
        <v>392</v>
      </c>
      <c r="H15" s="46" t="s">
        <v>406</v>
      </c>
    </row>
    <row r="16" spans="1:8" ht="15" customHeight="1" x14ac:dyDescent="0.25">
      <c r="A16" s="8" t="s">
        <v>46</v>
      </c>
      <c r="B16" s="8" t="s">
        <v>407</v>
      </c>
      <c r="C16" s="8" t="s">
        <v>408</v>
      </c>
      <c r="D16" s="8">
        <v>2</v>
      </c>
      <c r="E16" s="8">
        <v>3.12</v>
      </c>
      <c r="F16" s="8">
        <v>3.12</v>
      </c>
      <c r="G16" s="7" t="s">
        <v>392</v>
      </c>
      <c r="H16" s="46"/>
    </row>
    <row r="17" spans="1:8" ht="15" customHeight="1" x14ac:dyDescent="0.25">
      <c r="A17" s="8" t="s">
        <v>107</v>
      </c>
      <c r="B17" s="8" t="s">
        <v>409</v>
      </c>
      <c r="C17" s="8" t="s">
        <v>408</v>
      </c>
      <c r="D17" s="8">
        <v>2</v>
      </c>
      <c r="E17" s="8">
        <v>3.12</v>
      </c>
      <c r="F17" s="8">
        <v>3.12</v>
      </c>
      <c r="G17" s="7" t="s">
        <v>392</v>
      </c>
      <c r="H17" s="46"/>
    </row>
    <row r="18" spans="1:8" ht="15" customHeight="1" x14ac:dyDescent="0.25">
      <c r="A18" s="8" t="s">
        <v>108</v>
      </c>
      <c r="B18" s="8" t="s">
        <v>410</v>
      </c>
      <c r="C18" s="8" t="s">
        <v>408</v>
      </c>
      <c r="D18" s="8">
        <v>2</v>
      </c>
      <c r="E18" s="8">
        <v>3.12</v>
      </c>
      <c r="F18" s="8">
        <v>3.12</v>
      </c>
      <c r="G18" s="7" t="s">
        <v>392</v>
      </c>
      <c r="H18" s="46"/>
    </row>
    <row r="19" spans="1:8" ht="15" customHeight="1" x14ac:dyDescent="0.25">
      <c r="A19" s="8" t="s">
        <v>109</v>
      </c>
      <c r="B19" s="8" t="s">
        <v>411</v>
      </c>
      <c r="C19" s="8" t="s">
        <v>408</v>
      </c>
      <c r="D19" s="8">
        <v>2</v>
      </c>
      <c r="E19" s="8">
        <v>3.12</v>
      </c>
      <c r="F19" s="8">
        <v>3.12</v>
      </c>
      <c r="G19" s="7" t="s">
        <v>392</v>
      </c>
      <c r="H19" s="46"/>
    </row>
    <row r="20" spans="1:8" ht="15" customHeight="1" x14ac:dyDescent="0.25">
      <c r="A20" s="8" t="s">
        <v>110</v>
      </c>
      <c r="B20" s="8" t="s">
        <v>412</v>
      </c>
      <c r="C20" s="8" t="s">
        <v>408</v>
      </c>
      <c r="D20" s="8">
        <v>2</v>
      </c>
      <c r="E20" s="8">
        <v>3.12</v>
      </c>
      <c r="F20" s="8">
        <v>3.12</v>
      </c>
      <c r="G20" s="7" t="s">
        <v>392</v>
      </c>
      <c r="H20" s="46"/>
    </row>
    <row r="21" spans="1:8" ht="15" customHeight="1" x14ac:dyDescent="0.25">
      <c r="A21" s="8" t="s">
        <v>111</v>
      </c>
      <c r="B21" s="8" t="s">
        <v>413</v>
      </c>
      <c r="C21" s="8" t="s">
        <v>408</v>
      </c>
      <c r="D21" s="8">
        <v>2</v>
      </c>
      <c r="E21" s="8">
        <v>3.12</v>
      </c>
      <c r="F21" s="8">
        <v>3.12</v>
      </c>
      <c r="G21" s="7" t="s">
        <v>392</v>
      </c>
      <c r="H21" s="46"/>
    </row>
    <row r="22" spans="1:8" ht="15" customHeight="1" x14ac:dyDescent="0.25">
      <c r="A22" s="8" t="s">
        <v>40</v>
      </c>
      <c r="B22" s="8" t="s">
        <v>414</v>
      </c>
      <c r="C22" s="8" t="s">
        <v>408</v>
      </c>
      <c r="D22" s="8">
        <v>2</v>
      </c>
      <c r="E22" s="8">
        <v>3.12</v>
      </c>
      <c r="F22" s="8">
        <v>3.12</v>
      </c>
      <c r="G22" s="7" t="s">
        <v>392</v>
      </c>
      <c r="H22" s="46"/>
    </row>
    <row r="23" spans="1:8" ht="15" customHeight="1" x14ac:dyDescent="0.25">
      <c r="A23" s="8" t="s">
        <v>41</v>
      </c>
      <c r="B23" s="8" t="s">
        <v>415</v>
      </c>
      <c r="C23" s="8" t="s">
        <v>408</v>
      </c>
      <c r="D23" s="8">
        <v>2</v>
      </c>
      <c r="E23" s="8">
        <v>3.12</v>
      </c>
      <c r="F23" s="8">
        <v>3.12</v>
      </c>
      <c r="G23" s="7" t="s">
        <v>392</v>
      </c>
      <c r="H23" s="46"/>
    </row>
    <row r="24" spans="1:8" ht="15" customHeight="1" x14ac:dyDescent="0.25">
      <c r="A24" s="8" t="s">
        <v>39</v>
      </c>
      <c r="B24" s="8" t="s">
        <v>416</v>
      </c>
      <c r="C24" s="8" t="s">
        <v>408</v>
      </c>
      <c r="D24" s="8">
        <v>2</v>
      </c>
      <c r="E24" s="8">
        <v>3.12</v>
      </c>
      <c r="F24" s="8">
        <v>3.12</v>
      </c>
      <c r="G24" s="7" t="s">
        <v>392</v>
      </c>
      <c r="H24" s="46"/>
    </row>
    <row r="25" spans="1:8" ht="15" customHeight="1" x14ac:dyDescent="0.25">
      <c r="A25" s="8" t="s">
        <v>36</v>
      </c>
      <c r="B25" s="8" t="s">
        <v>417</v>
      </c>
      <c r="C25" s="8" t="s">
        <v>408</v>
      </c>
      <c r="D25" s="8">
        <v>2</v>
      </c>
      <c r="E25" s="8">
        <v>3.12</v>
      </c>
      <c r="F25" s="8">
        <v>3.12</v>
      </c>
      <c r="G25" s="7" t="s">
        <v>392</v>
      </c>
      <c r="H25" s="46"/>
    </row>
    <row r="26" spans="1:8" ht="15" customHeight="1" x14ac:dyDescent="0.25">
      <c r="A26" s="8" t="s">
        <v>120</v>
      </c>
      <c r="B26" s="8" t="s">
        <v>418</v>
      </c>
      <c r="C26" s="8" t="s">
        <v>408</v>
      </c>
      <c r="D26" s="8">
        <v>2</v>
      </c>
      <c r="E26" s="8">
        <v>3.12</v>
      </c>
      <c r="F26" s="8">
        <v>3.12</v>
      </c>
      <c r="G26" s="7" t="s">
        <v>392</v>
      </c>
      <c r="H26" s="46"/>
    </row>
    <row r="27" spans="1:8" ht="15" customHeight="1" x14ac:dyDescent="0.25">
      <c r="A27" s="8" t="s">
        <v>121</v>
      </c>
      <c r="B27" s="8" t="s">
        <v>419</v>
      </c>
      <c r="C27" s="8" t="s">
        <v>408</v>
      </c>
      <c r="D27" s="8">
        <v>2</v>
      </c>
      <c r="E27" s="8">
        <v>3.12</v>
      </c>
      <c r="F27" s="8">
        <v>3.12</v>
      </c>
      <c r="G27" s="7" t="s">
        <v>392</v>
      </c>
      <c r="H27" s="46"/>
    </row>
    <row r="28" spans="1:8" ht="15" customHeight="1" x14ac:dyDescent="0.25">
      <c r="A28" s="8" t="s">
        <v>122</v>
      </c>
      <c r="B28" s="8" t="s">
        <v>420</v>
      </c>
      <c r="C28" s="8" t="s">
        <v>408</v>
      </c>
      <c r="D28" s="8">
        <v>2</v>
      </c>
      <c r="E28" s="8">
        <v>3.12</v>
      </c>
      <c r="F28" s="8">
        <v>3.12</v>
      </c>
      <c r="G28" s="7" t="s">
        <v>392</v>
      </c>
      <c r="H28" s="46"/>
    </row>
    <row r="29" spans="1:8" ht="15" customHeight="1" x14ac:dyDescent="0.25">
      <c r="A29" s="8" t="s">
        <v>127</v>
      </c>
      <c r="B29" s="8" t="s">
        <v>421</v>
      </c>
      <c r="C29" s="8" t="s">
        <v>408</v>
      </c>
      <c r="D29" s="8">
        <v>2</v>
      </c>
      <c r="E29" s="8">
        <v>3.12</v>
      </c>
      <c r="F29" s="8">
        <v>3.12</v>
      </c>
      <c r="G29" s="7" t="s">
        <v>392</v>
      </c>
      <c r="H29" s="46"/>
    </row>
    <row r="30" spans="1:8" ht="15" customHeight="1" x14ac:dyDescent="0.25">
      <c r="A30" s="8" t="s">
        <v>32</v>
      </c>
      <c r="B30" s="8" t="s">
        <v>422</v>
      </c>
      <c r="C30" s="8" t="s">
        <v>408</v>
      </c>
      <c r="D30" s="8">
        <v>2</v>
      </c>
      <c r="E30" s="8">
        <v>3.12</v>
      </c>
      <c r="F30" s="8">
        <v>3.12</v>
      </c>
      <c r="G30" s="7" t="s">
        <v>392</v>
      </c>
      <c r="H30" s="46"/>
    </row>
    <row r="31" spans="1:8" ht="15" customHeight="1" x14ac:dyDescent="0.25">
      <c r="A31" s="8" t="s">
        <v>30</v>
      </c>
      <c r="B31" s="8" t="s">
        <v>423</v>
      </c>
      <c r="C31" s="8" t="s">
        <v>424</v>
      </c>
      <c r="D31" s="8">
        <v>2.5</v>
      </c>
      <c r="E31" s="8">
        <v>2.92</v>
      </c>
      <c r="F31" s="8">
        <v>2.92</v>
      </c>
      <c r="G31" s="7" t="s">
        <v>392</v>
      </c>
      <c r="H31" s="46"/>
    </row>
    <row r="32" spans="1:8" ht="15" customHeight="1" x14ac:dyDescent="0.25">
      <c r="A32" s="8" t="s">
        <v>101</v>
      </c>
      <c r="B32" s="8" t="s">
        <v>423</v>
      </c>
      <c r="C32" s="8" t="s">
        <v>424</v>
      </c>
      <c r="D32" s="8">
        <v>2.5</v>
      </c>
      <c r="E32" s="8">
        <v>2.92</v>
      </c>
      <c r="F32" s="8">
        <v>2.92</v>
      </c>
      <c r="G32" s="7" t="s">
        <v>392</v>
      </c>
      <c r="H32" s="46"/>
    </row>
    <row r="33" spans="1:8" ht="15" customHeight="1" x14ac:dyDescent="0.25">
      <c r="A33" s="8" t="s">
        <v>126</v>
      </c>
      <c r="B33" s="8" t="s">
        <v>425</v>
      </c>
      <c r="C33" s="8" t="s">
        <v>426</v>
      </c>
      <c r="D33" s="8">
        <v>2</v>
      </c>
      <c r="E33" s="8">
        <v>1.43</v>
      </c>
      <c r="F33" s="8">
        <v>2</v>
      </c>
      <c r="G33" s="7" t="s">
        <v>392</v>
      </c>
      <c r="H33" s="46"/>
    </row>
    <row r="34" spans="1:8" ht="15" customHeight="1" x14ac:dyDescent="0.25">
      <c r="A34" s="8" t="s">
        <v>95</v>
      </c>
      <c r="B34" s="8" t="s">
        <v>427</v>
      </c>
      <c r="C34" s="8" t="s">
        <v>428</v>
      </c>
      <c r="D34" s="8">
        <v>1.5</v>
      </c>
      <c r="E34" s="8">
        <v>1.98</v>
      </c>
      <c r="F34" s="8">
        <v>1.98</v>
      </c>
      <c r="G34" s="7" t="s">
        <v>392</v>
      </c>
      <c r="H34" s="46"/>
    </row>
    <row r="35" spans="1:8" ht="15" customHeight="1" x14ac:dyDescent="0.25">
      <c r="A35" s="8" t="s">
        <v>99</v>
      </c>
      <c r="B35" s="8" t="s">
        <v>427</v>
      </c>
      <c r="C35" s="8" t="s">
        <v>428</v>
      </c>
      <c r="D35" s="8">
        <v>1.5</v>
      </c>
      <c r="E35" s="8">
        <v>1.98</v>
      </c>
      <c r="F35" s="8">
        <v>1.98</v>
      </c>
      <c r="G35" s="7" t="s">
        <v>392</v>
      </c>
      <c r="H35" s="46"/>
    </row>
    <row r="36" spans="1:8" ht="15" customHeight="1" x14ac:dyDescent="0.25">
      <c r="A36" s="8" t="s">
        <v>44</v>
      </c>
      <c r="B36" s="8" t="s">
        <v>429</v>
      </c>
      <c r="C36" s="8" t="s">
        <v>428</v>
      </c>
      <c r="D36" s="8">
        <v>1.5</v>
      </c>
      <c r="E36" s="8">
        <v>1.98</v>
      </c>
      <c r="F36" s="8">
        <v>1.98</v>
      </c>
      <c r="G36" s="7" t="s">
        <v>392</v>
      </c>
      <c r="H36" s="46"/>
    </row>
    <row r="37" spans="1:8" ht="15" customHeight="1" x14ac:dyDescent="0.25">
      <c r="A37" s="8" t="s">
        <v>34</v>
      </c>
      <c r="B37" s="8" t="s">
        <v>430</v>
      </c>
      <c r="C37" s="8" t="s">
        <v>428</v>
      </c>
      <c r="D37" s="8">
        <v>1.5</v>
      </c>
      <c r="E37" s="8">
        <v>1.98</v>
      </c>
      <c r="F37" s="8">
        <v>1.98</v>
      </c>
      <c r="G37" s="7" t="s">
        <v>392</v>
      </c>
      <c r="H37" s="46"/>
    </row>
    <row r="38" spans="1:8" ht="15" customHeight="1" x14ac:dyDescent="0.25">
      <c r="A38" s="8" t="s">
        <v>104</v>
      </c>
      <c r="B38" s="8" t="s">
        <v>431</v>
      </c>
      <c r="C38" s="8" t="s">
        <v>428</v>
      </c>
      <c r="D38" s="8">
        <v>1.5</v>
      </c>
      <c r="E38" s="8">
        <v>1.98</v>
      </c>
      <c r="F38" s="8">
        <v>1.98</v>
      </c>
      <c r="G38" s="7" t="s">
        <v>392</v>
      </c>
      <c r="H38" s="46"/>
    </row>
    <row r="39" spans="1:8" ht="15" customHeight="1" x14ac:dyDescent="0.25">
      <c r="A39" s="8" t="s">
        <v>37</v>
      </c>
      <c r="B39" s="8" t="s">
        <v>432</v>
      </c>
      <c r="C39" s="8" t="s">
        <v>428</v>
      </c>
      <c r="D39" s="8">
        <v>1.5</v>
      </c>
      <c r="E39" s="8">
        <v>1.98</v>
      </c>
      <c r="F39" s="8">
        <v>1.98</v>
      </c>
      <c r="G39" s="7" t="s">
        <v>392</v>
      </c>
      <c r="H39" s="46"/>
    </row>
    <row r="40" spans="1:8" ht="15" customHeight="1" x14ac:dyDescent="0.25">
      <c r="A40" s="8" t="s">
        <v>47</v>
      </c>
      <c r="B40" s="8" t="s">
        <v>433</v>
      </c>
      <c r="C40" s="8" t="s">
        <v>428</v>
      </c>
      <c r="D40" s="8">
        <v>1.5</v>
      </c>
      <c r="E40" s="8">
        <v>1.98</v>
      </c>
      <c r="F40" s="8">
        <v>1.98</v>
      </c>
      <c r="G40" s="7" t="s">
        <v>392</v>
      </c>
      <c r="H40" s="46"/>
    </row>
    <row r="41" spans="1:8" ht="15" customHeight="1" x14ac:dyDescent="0.25">
      <c r="A41" s="8" t="s">
        <v>48</v>
      </c>
      <c r="B41" s="8" t="s">
        <v>434</v>
      </c>
      <c r="C41" s="8" t="s">
        <v>428</v>
      </c>
      <c r="D41" s="8">
        <v>1.5</v>
      </c>
      <c r="E41" s="8">
        <v>1.98</v>
      </c>
      <c r="F41" s="8">
        <v>1.98</v>
      </c>
      <c r="G41" s="7" t="s">
        <v>392</v>
      </c>
      <c r="H41" s="46"/>
    </row>
    <row r="42" spans="1:8" ht="15" customHeight="1" x14ac:dyDescent="0.25">
      <c r="A42" s="8" t="s">
        <v>105</v>
      </c>
      <c r="B42" s="8" t="s">
        <v>435</v>
      </c>
      <c r="C42" s="8" t="s">
        <v>428</v>
      </c>
      <c r="D42" s="8">
        <v>1.5</v>
      </c>
      <c r="E42" s="8">
        <v>1.98</v>
      </c>
      <c r="F42" s="8">
        <v>1.98</v>
      </c>
      <c r="G42" s="7" t="s">
        <v>392</v>
      </c>
      <c r="H42" s="46"/>
    </row>
    <row r="43" spans="1:8" ht="15" customHeight="1" x14ac:dyDescent="0.25">
      <c r="A43" s="8" t="s">
        <v>33</v>
      </c>
      <c r="B43" s="8" t="s">
        <v>436</v>
      </c>
      <c r="C43" s="8" t="s">
        <v>428</v>
      </c>
      <c r="D43" s="8">
        <v>1.5</v>
      </c>
      <c r="E43" s="8">
        <v>1.98</v>
      </c>
      <c r="F43" s="8">
        <v>1.98</v>
      </c>
      <c r="G43" s="7" t="s">
        <v>392</v>
      </c>
      <c r="H43" s="46"/>
    </row>
    <row r="44" spans="1:8" ht="15" customHeight="1" x14ac:dyDescent="0.25">
      <c r="A44" s="8" t="s">
        <v>45</v>
      </c>
      <c r="B44" s="8" t="s">
        <v>437</v>
      </c>
      <c r="C44" s="8" t="s">
        <v>428</v>
      </c>
      <c r="D44" s="8">
        <v>1.5</v>
      </c>
      <c r="E44" s="8">
        <v>1.98</v>
      </c>
      <c r="F44" s="8">
        <v>1.98</v>
      </c>
      <c r="G44" s="7" t="s">
        <v>392</v>
      </c>
      <c r="H44" s="46"/>
    </row>
    <row r="45" spans="1:8" ht="15" customHeight="1" x14ac:dyDescent="0.25">
      <c r="A45" s="8" t="s">
        <v>49</v>
      </c>
      <c r="B45" s="8" t="s">
        <v>438</v>
      </c>
      <c r="C45" s="8" t="s">
        <v>428</v>
      </c>
      <c r="D45" s="8">
        <v>1.5</v>
      </c>
      <c r="E45" s="8">
        <v>1.98</v>
      </c>
      <c r="F45" s="8">
        <v>1.98</v>
      </c>
      <c r="G45" s="7" t="s">
        <v>392</v>
      </c>
      <c r="H45" s="46"/>
    </row>
    <row r="46" spans="1:8" ht="15" customHeight="1" x14ac:dyDescent="0.25">
      <c r="A46" s="8" t="s">
        <v>31</v>
      </c>
      <c r="B46" s="8" t="s">
        <v>439</v>
      </c>
      <c r="C46" s="8" t="s">
        <v>428</v>
      </c>
      <c r="D46" s="8">
        <v>1.5</v>
      </c>
      <c r="E46" s="8">
        <v>1.98</v>
      </c>
      <c r="F46" s="8">
        <v>1.98</v>
      </c>
      <c r="G46" s="7" t="s">
        <v>392</v>
      </c>
      <c r="H46" s="46"/>
    </row>
    <row r="47" spans="1:8" ht="15" customHeight="1" x14ac:dyDescent="0.25">
      <c r="A47" s="8" t="s">
        <v>106</v>
      </c>
      <c r="B47" s="8" t="s">
        <v>440</v>
      </c>
      <c r="C47" s="8" t="s">
        <v>428</v>
      </c>
      <c r="D47" s="8">
        <v>1.5</v>
      </c>
      <c r="E47" s="8">
        <v>1.98</v>
      </c>
      <c r="F47" s="8">
        <v>1.98</v>
      </c>
      <c r="G47" s="7" t="s">
        <v>392</v>
      </c>
      <c r="H47" s="46"/>
    </row>
    <row r="48" spans="1:8" ht="15" customHeight="1" x14ac:dyDescent="0.25">
      <c r="A48" s="8" t="s">
        <v>118</v>
      </c>
      <c r="B48" s="8" t="s">
        <v>441</v>
      </c>
      <c r="C48" s="8" t="s">
        <v>428</v>
      </c>
      <c r="D48" s="8">
        <v>1.5</v>
      </c>
      <c r="E48" s="8">
        <v>1.98</v>
      </c>
      <c r="F48" s="8">
        <v>1.98</v>
      </c>
      <c r="G48" s="7" t="s">
        <v>392</v>
      </c>
      <c r="H48" s="46"/>
    </row>
    <row r="49" spans="1:8" ht="15" customHeight="1" x14ac:dyDescent="0.25">
      <c r="A49" s="8" t="s">
        <v>119</v>
      </c>
      <c r="B49" s="8" t="s">
        <v>442</v>
      </c>
      <c r="C49" s="8" t="s">
        <v>428</v>
      </c>
      <c r="D49" s="8">
        <v>1.5</v>
      </c>
      <c r="E49" s="8">
        <v>1.98</v>
      </c>
      <c r="F49" s="8">
        <v>1.98</v>
      </c>
      <c r="G49" s="7" t="s">
        <v>392</v>
      </c>
      <c r="H49" s="46"/>
    </row>
    <row r="50" spans="1:8" ht="26.25" customHeight="1" x14ac:dyDescent="0.25">
      <c r="A50" s="8" t="s">
        <v>35</v>
      </c>
      <c r="B50" s="8" t="s">
        <v>443</v>
      </c>
      <c r="C50" s="8" t="s">
        <v>444</v>
      </c>
      <c r="D50" s="8">
        <v>1</v>
      </c>
      <c r="E50" s="8">
        <v>0.87</v>
      </c>
      <c r="F50" s="8">
        <v>1</v>
      </c>
      <c r="G50" s="7" t="s">
        <v>392</v>
      </c>
      <c r="H50" s="46" t="s">
        <v>445</v>
      </c>
    </row>
    <row r="51" spans="1:8" ht="26.25" customHeight="1" x14ac:dyDescent="0.25">
      <c r="A51" s="8" t="s">
        <v>150</v>
      </c>
      <c r="B51" s="8" t="s">
        <v>446</v>
      </c>
      <c r="C51" s="8" t="s">
        <v>447</v>
      </c>
      <c r="D51" s="8">
        <v>6</v>
      </c>
      <c r="E51" s="8">
        <v>17.64</v>
      </c>
      <c r="F51" s="8">
        <v>17.64</v>
      </c>
      <c r="G51" s="9" t="s">
        <v>448</v>
      </c>
      <c r="H51" s="46" t="s">
        <v>449</v>
      </c>
    </row>
    <row r="52" spans="1:8" ht="26.25" customHeight="1" x14ac:dyDescent="0.25">
      <c r="A52" s="8" t="s">
        <v>151</v>
      </c>
      <c r="B52" s="8" t="s">
        <v>450</v>
      </c>
      <c r="C52" s="8" t="s">
        <v>447</v>
      </c>
      <c r="D52" s="8">
        <v>6</v>
      </c>
      <c r="E52" s="8">
        <v>17.64</v>
      </c>
      <c r="F52" s="8">
        <v>17.64</v>
      </c>
      <c r="G52" s="9" t="s">
        <v>448</v>
      </c>
      <c r="H52" s="46" t="s">
        <v>449</v>
      </c>
    </row>
    <row r="53" spans="1:8" ht="26.25" customHeight="1" x14ac:dyDescent="0.25">
      <c r="A53" s="8" t="s">
        <v>152</v>
      </c>
      <c r="B53" s="8" t="s">
        <v>451</v>
      </c>
      <c r="C53" s="8" t="s">
        <v>447</v>
      </c>
      <c r="D53" s="8">
        <v>6</v>
      </c>
      <c r="E53" s="8">
        <v>17.64</v>
      </c>
      <c r="F53" s="8">
        <v>17.64</v>
      </c>
      <c r="G53" s="9" t="s">
        <v>448</v>
      </c>
      <c r="H53" s="46" t="s">
        <v>449</v>
      </c>
    </row>
    <row r="54" spans="1:8" ht="26.25" customHeight="1" x14ac:dyDescent="0.25">
      <c r="A54" s="8" t="s">
        <v>153</v>
      </c>
      <c r="B54" s="8" t="s">
        <v>452</v>
      </c>
      <c r="C54" s="8" t="s">
        <v>447</v>
      </c>
      <c r="D54" s="8">
        <v>6</v>
      </c>
      <c r="E54" s="8">
        <v>17.64</v>
      </c>
      <c r="F54" s="8">
        <v>17.64</v>
      </c>
      <c r="G54" s="9" t="s">
        <v>448</v>
      </c>
      <c r="H54" s="46" t="s">
        <v>449</v>
      </c>
    </row>
    <row r="55" spans="1:8" ht="26.25" customHeight="1" x14ac:dyDescent="0.25">
      <c r="A55" s="8" t="s">
        <v>158</v>
      </c>
      <c r="B55" s="8" t="s">
        <v>453</v>
      </c>
      <c r="C55" s="8" t="s">
        <v>447</v>
      </c>
      <c r="D55" s="8">
        <v>6</v>
      </c>
      <c r="E55" s="8">
        <v>17.64</v>
      </c>
      <c r="F55" s="8">
        <v>17.64</v>
      </c>
      <c r="G55" s="9" t="s">
        <v>448</v>
      </c>
      <c r="H55" s="46" t="s">
        <v>449</v>
      </c>
    </row>
    <row r="56" spans="1:8" ht="26.25" customHeight="1" x14ac:dyDescent="0.25">
      <c r="A56" s="8" t="s">
        <v>159</v>
      </c>
      <c r="B56" s="8" t="s">
        <v>454</v>
      </c>
      <c r="C56" s="8" t="s">
        <v>447</v>
      </c>
      <c r="D56" s="8">
        <v>6</v>
      </c>
      <c r="E56" s="8">
        <v>17.64</v>
      </c>
      <c r="F56" s="8">
        <v>17.64</v>
      </c>
      <c r="G56" s="9" t="s">
        <v>448</v>
      </c>
      <c r="H56" s="46" t="s">
        <v>449</v>
      </c>
    </row>
    <row r="57" spans="1:8" ht="26.25" customHeight="1" x14ac:dyDescent="0.25">
      <c r="A57" s="8" t="s">
        <v>58</v>
      </c>
      <c r="B57" s="8" t="s">
        <v>455</v>
      </c>
      <c r="C57" s="8" t="s">
        <v>447</v>
      </c>
      <c r="D57" s="8">
        <v>6</v>
      </c>
      <c r="E57" s="8">
        <v>17.64</v>
      </c>
      <c r="F57" s="8">
        <v>17.64</v>
      </c>
      <c r="G57" s="9" t="s">
        <v>448</v>
      </c>
      <c r="H57" s="46" t="s">
        <v>449</v>
      </c>
    </row>
    <row r="58" spans="1:8" ht="26.25" customHeight="1" x14ac:dyDescent="0.25">
      <c r="A58" s="8" t="s">
        <v>160</v>
      </c>
      <c r="B58" s="8" t="s">
        <v>456</v>
      </c>
      <c r="C58" s="8" t="s">
        <v>447</v>
      </c>
      <c r="D58" s="8">
        <v>6</v>
      </c>
      <c r="E58" s="8">
        <v>17.64</v>
      </c>
      <c r="F58" s="8">
        <v>17.64</v>
      </c>
      <c r="G58" s="9" t="s">
        <v>448</v>
      </c>
      <c r="H58" s="46" t="s">
        <v>449</v>
      </c>
    </row>
    <row r="59" spans="1:8" ht="26.25" customHeight="1" x14ac:dyDescent="0.25">
      <c r="A59" s="8" t="s">
        <v>60</v>
      </c>
      <c r="B59" s="8" t="s">
        <v>457</v>
      </c>
      <c r="C59" s="8" t="s">
        <v>447</v>
      </c>
      <c r="D59" s="8">
        <v>6</v>
      </c>
      <c r="E59" s="8">
        <v>17.64</v>
      </c>
      <c r="F59" s="8">
        <v>17.64</v>
      </c>
      <c r="G59" s="9" t="s">
        <v>448</v>
      </c>
      <c r="H59" s="46" t="s">
        <v>449</v>
      </c>
    </row>
    <row r="60" spans="1:8" ht="26.25" customHeight="1" x14ac:dyDescent="0.25">
      <c r="A60" s="8" t="s">
        <v>186</v>
      </c>
      <c r="B60" s="8" t="s">
        <v>458</v>
      </c>
      <c r="C60" s="8" t="s">
        <v>459</v>
      </c>
      <c r="D60" s="8">
        <v>5</v>
      </c>
      <c r="E60" s="8">
        <v>16.88</v>
      </c>
      <c r="F60" s="8">
        <v>16.88</v>
      </c>
      <c r="G60" s="9" t="s">
        <v>448</v>
      </c>
      <c r="H60" s="46" t="s">
        <v>460</v>
      </c>
    </row>
    <row r="61" spans="1:8" ht="15" customHeight="1" x14ac:dyDescent="0.25">
      <c r="A61" s="8" t="s">
        <v>149</v>
      </c>
      <c r="B61" s="8" t="s">
        <v>461</v>
      </c>
      <c r="C61" s="8" t="s">
        <v>462</v>
      </c>
      <c r="D61" s="8">
        <v>6.5</v>
      </c>
      <c r="E61" s="8">
        <v>12.57</v>
      </c>
      <c r="F61" s="8">
        <v>12.57</v>
      </c>
      <c r="G61" s="9" t="s">
        <v>448</v>
      </c>
      <c r="H61" s="46"/>
    </row>
    <row r="62" spans="1:8" ht="15" customHeight="1" x14ac:dyDescent="0.25">
      <c r="A62" s="8" t="s">
        <v>170</v>
      </c>
      <c r="B62" s="8" t="s">
        <v>463</v>
      </c>
      <c r="C62" s="8" t="s">
        <v>464</v>
      </c>
      <c r="D62" s="8">
        <v>7</v>
      </c>
      <c r="E62" s="8">
        <v>11.53</v>
      </c>
      <c r="F62" s="8">
        <v>11.53</v>
      </c>
      <c r="G62" s="9" t="s">
        <v>448</v>
      </c>
      <c r="H62" s="46"/>
    </row>
    <row r="63" spans="1:8" ht="15" customHeight="1" x14ac:dyDescent="0.25">
      <c r="A63" s="8" t="s">
        <v>171</v>
      </c>
      <c r="B63" s="8" t="s">
        <v>465</v>
      </c>
      <c r="C63" s="8" t="s">
        <v>464</v>
      </c>
      <c r="D63" s="8">
        <v>7</v>
      </c>
      <c r="E63" s="8">
        <v>11.53</v>
      </c>
      <c r="F63" s="8">
        <v>11.53</v>
      </c>
      <c r="G63" s="9" t="s">
        <v>448</v>
      </c>
      <c r="H63" s="46"/>
    </row>
    <row r="64" spans="1:8" ht="15" customHeight="1" x14ac:dyDescent="0.25">
      <c r="A64" s="8" t="s">
        <v>146</v>
      </c>
      <c r="B64" s="8" t="s">
        <v>466</v>
      </c>
      <c r="C64" s="8" t="s">
        <v>467</v>
      </c>
      <c r="D64" s="8">
        <v>6</v>
      </c>
      <c r="E64" s="8">
        <v>11.21</v>
      </c>
      <c r="F64" s="8">
        <v>11.21</v>
      </c>
      <c r="G64" s="9" t="s">
        <v>448</v>
      </c>
      <c r="H64" s="46"/>
    </row>
    <row r="65" spans="1:8" ht="15" customHeight="1" x14ac:dyDescent="0.25">
      <c r="A65" s="8" t="s">
        <v>147</v>
      </c>
      <c r="B65" s="8" t="s">
        <v>468</v>
      </c>
      <c r="C65" s="8" t="s">
        <v>467</v>
      </c>
      <c r="D65" s="8">
        <v>6</v>
      </c>
      <c r="E65" s="8">
        <v>11.21</v>
      </c>
      <c r="F65" s="8">
        <v>11.21</v>
      </c>
      <c r="G65" s="9" t="s">
        <v>448</v>
      </c>
      <c r="H65" s="46"/>
    </row>
    <row r="66" spans="1:8" ht="15" customHeight="1" x14ac:dyDescent="0.25">
      <c r="A66" s="8" t="s">
        <v>148</v>
      </c>
      <c r="B66" s="8" t="s">
        <v>469</v>
      </c>
      <c r="C66" s="8" t="s">
        <v>467</v>
      </c>
      <c r="D66" s="8">
        <v>6</v>
      </c>
      <c r="E66" s="8">
        <v>11.21</v>
      </c>
      <c r="F66" s="8">
        <v>11.21</v>
      </c>
      <c r="G66" s="9" t="s">
        <v>448</v>
      </c>
      <c r="H66" s="46"/>
    </row>
    <row r="67" spans="1:8" ht="15" customHeight="1" x14ac:dyDescent="0.25">
      <c r="A67" s="8" t="s">
        <v>57</v>
      </c>
      <c r="B67" s="8" t="s">
        <v>470</v>
      </c>
      <c r="C67" s="8" t="s">
        <v>467</v>
      </c>
      <c r="D67" s="8">
        <v>6</v>
      </c>
      <c r="E67" s="8">
        <v>11.21</v>
      </c>
      <c r="F67" s="8">
        <v>11.21</v>
      </c>
      <c r="G67" s="9" t="s">
        <v>448</v>
      </c>
      <c r="H67" s="46"/>
    </row>
    <row r="68" spans="1:8" ht="15" customHeight="1" x14ac:dyDescent="0.25">
      <c r="A68" s="8" t="s">
        <v>56</v>
      </c>
      <c r="B68" s="8" t="s">
        <v>471</v>
      </c>
      <c r="C68" s="8" t="s">
        <v>467</v>
      </c>
      <c r="D68" s="8">
        <v>6</v>
      </c>
      <c r="E68" s="8">
        <v>11.21</v>
      </c>
      <c r="F68" s="8">
        <v>11.21</v>
      </c>
      <c r="G68" s="9" t="s">
        <v>448</v>
      </c>
      <c r="H68" s="46"/>
    </row>
    <row r="69" spans="1:8" ht="15" customHeight="1" x14ac:dyDescent="0.25">
      <c r="A69" s="8" t="s">
        <v>164</v>
      </c>
      <c r="B69" s="8" t="s">
        <v>472</v>
      </c>
      <c r="C69" s="8" t="s">
        <v>467</v>
      </c>
      <c r="D69" s="8">
        <v>6</v>
      </c>
      <c r="E69" s="8">
        <v>11.21</v>
      </c>
      <c r="F69" s="8">
        <v>11.21</v>
      </c>
      <c r="G69" s="9" t="s">
        <v>448</v>
      </c>
      <c r="H69" s="46"/>
    </row>
    <row r="70" spans="1:8" ht="15" customHeight="1" x14ac:dyDescent="0.25">
      <c r="A70" s="8" t="s">
        <v>129</v>
      </c>
      <c r="B70" s="8" t="s">
        <v>473</v>
      </c>
      <c r="C70" s="8" t="s">
        <v>474</v>
      </c>
      <c r="D70" s="8">
        <v>8</v>
      </c>
      <c r="E70" s="8">
        <v>9.83</v>
      </c>
      <c r="F70" s="8">
        <v>9.83</v>
      </c>
      <c r="G70" s="9" t="s">
        <v>448</v>
      </c>
      <c r="H70" s="46"/>
    </row>
    <row r="71" spans="1:8" ht="15" customHeight="1" x14ac:dyDescent="0.25">
      <c r="A71" s="8" t="s">
        <v>141</v>
      </c>
      <c r="B71" s="8" t="s">
        <v>475</v>
      </c>
      <c r="C71" s="8" t="s">
        <v>476</v>
      </c>
      <c r="D71" s="8">
        <v>5</v>
      </c>
      <c r="E71" s="8">
        <v>9.61</v>
      </c>
      <c r="F71" s="8">
        <v>9.61</v>
      </c>
      <c r="G71" s="9" t="s">
        <v>448</v>
      </c>
      <c r="H71" s="46"/>
    </row>
    <row r="72" spans="1:8" ht="15" customHeight="1" x14ac:dyDescent="0.25">
      <c r="A72" s="8" t="s">
        <v>142</v>
      </c>
      <c r="B72" s="8" t="s">
        <v>477</v>
      </c>
      <c r="C72" s="8" t="s">
        <v>476</v>
      </c>
      <c r="D72" s="8">
        <v>5</v>
      </c>
      <c r="E72" s="8">
        <v>9.61</v>
      </c>
      <c r="F72" s="8">
        <v>9.61</v>
      </c>
      <c r="G72" s="9" t="s">
        <v>448</v>
      </c>
      <c r="H72" s="46"/>
    </row>
    <row r="73" spans="1:8" ht="15" customHeight="1" x14ac:dyDescent="0.25">
      <c r="A73" s="8" t="s">
        <v>143</v>
      </c>
      <c r="B73" s="8" t="s">
        <v>478</v>
      </c>
      <c r="C73" s="8" t="s">
        <v>476</v>
      </c>
      <c r="D73" s="8">
        <v>5</v>
      </c>
      <c r="E73" s="8">
        <v>9.61</v>
      </c>
      <c r="F73" s="8">
        <v>9.61</v>
      </c>
      <c r="G73" s="9" t="s">
        <v>448</v>
      </c>
      <c r="H73" s="46"/>
    </row>
    <row r="74" spans="1:8" ht="15" customHeight="1" x14ac:dyDescent="0.25">
      <c r="A74" s="8" t="s">
        <v>144</v>
      </c>
      <c r="B74" s="8" t="s">
        <v>479</v>
      </c>
      <c r="C74" s="8" t="s">
        <v>476</v>
      </c>
      <c r="D74" s="8">
        <v>5</v>
      </c>
      <c r="E74" s="8">
        <v>9.61</v>
      </c>
      <c r="F74" s="8">
        <v>9.61</v>
      </c>
      <c r="G74" s="9" t="s">
        <v>448</v>
      </c>
      <c r="H74" s="46"/>
    </row>
    <row r="75" spans="1:8" ht="15" customHeight="1" x14ac:dyDescent="0.25">
      <c r="A75" s="8" t="s">
        <v>145</v>
      </c>
      <c r="B75" s="8" t="s">
        <v>480</v>
      </c>
      <c r="C75" s="8" t="s">
        <v>476</v>
      </c>
      <c r="D75" s="8">
        <v>5</v>
      </c>
      <c r="E75" s="8">
        <v>9.61</v>
      </c>
      <c r="F75" s="8">
        <v>9.61</v>
      </c>
      <c r="G75" s="9" t="s">
        <v>448</v>
      </c>
      <c r="H75" s="46"/>
    </row>
    <row r="76" spans="1:8" ht="15" customHeight="1" x14ac:dyDescent="0.25">
      <c r="A76" s="8" t="s">
        <v>155</v>
      </c>
      <c r="B76" s="8" t="s">
        <v>481</v>
      </c>
      <c r="C76" s="8" t="s">
        <v>476</v>
      </c>
      <c r="D76" s="8">
        <v>5</v>
      </c>
      <c r="E76" s="8">
        <v>9.61</v>
      </c>
      <c r="F76" s="8">
        <v>9.61</v>
      </c>
      <c r="G76" s="9" t="s">
        <v>448</v>
      </c>
      <c r="H76" s="46"/>
    </row>
    <row r="77" spans="1:8" ht="15" customHeight="1" x14ac:dyDescent="0.25">
      <c r="A77" s="8" t="s">
        <v>156</v>
      </c>
      <c r="B77" s="8" t="s">
        <v>482</v>
      </c>
      <c r="C77" s="8" t="s">
        <v>476</v>
      </c>
      <c r="D77" s="8">
        <v>5</v>
      </c>
      <c r="E77" s="8">
        <v>9.61</v>
      </c>
      <c r="F77" s="8">
        <v>9.61</v>
      </c>
      <c r="G77" s="9" t="s">
        <v>448</v>
      </c>
      <c r="H77" s="46"/>
    </row>
    <row r="78" spans="1:8" ht="15" customHeight="1" x14ac:dyDescent="0.25">
      <c r="A78" s="8" t="s">
        <v>52</v>
      </c>
      <c r="B78" s="8" t="s">
        <v>483</v>
      </c>
      <c r="C78" s="8" t="s">
        <v>476</v>
      </c>
      <c r="D78" s="8">
        <v>5</v>
      </c>
      <c r="E78" s="8">
        <v>9.61</v>
      </c>
      <c r="F78" s="8">
        <v>9.61</v>
      </c>
      <c r="G78" s="9" t="s">
        <v>448</v>
      </c>
      <c r="H78" s="46"/>
    </row>
    <row r="79" spans="1:8" ht="15" customHeight="1" x14ac:dyDescent="0.25">
      <c r="A79" s="8" t="s">
        <v>157</v>
      </c>
      <c r="B79" s="8" t="s">
        <v>484</v>
      </c>
      <c r="C79" s="8" t="s">
        <v>476</v>
      </c>
      <c r="D79" s="8">
        <v>5</v>
      </c>
      <c r="E79" s="8">
        <v>9.61</v>
      </c>
      <c r="F79" s="8">
        <v>9.61</v>
      </c>
      <c r="G79" s="9" t="s">
        <v>448</v>
      </c>
      <c r="H79" s="46"/>
    </row>
    <row r="80" spans="1:8" ht="15" customHeight="1" x14ac:dyDescent="0.25">
      <c r="A80" s="8" t="s">
        <v>163</v>
      </c>
      <c r="B80" s="8" t="s">
        <v>485</v>
      </c>
      <c r="C80" s="8" t="s">
        <v>476</v>
      </c>
      <c r="D80" s="8">
        <v>5</v>
      </c>
      <c r="E80" s="8">
        <v>9.61</v>
      </c>
      <c r="F80" s="8">
        <v>9.61</v>
      </c>
      <c r="G80" s="9" t="s">
        <v>448</v>
      </c>
      <c r="H80" s="46"/>
    </row>
    <row r="81" spans="1:8" ht="15" customHeight="1" x14ac:dyDescent="0.25">
      <c r="A81" s="8" t="s">
        <v>165</v>
      </c>
      <c r="B81" s="8" t="s">
        <v>486</v>
      </c>
      <c r="C81" s="8" t="s">
        <v>476</v>
      </c>
      <c r="D81" s="8">
        <v>5</v>
      </c>
      <c r="E81" s="8">
        <v>9.61</v>
      </c>
      <c r="F81" s="8">
        <v>9.61</v>
      </c>
      <c r="G81" s="9" t="s">
        <v>448</v>
      </c>
      <c r="H81" s="46"/>
    </row>
    <row r="82" spans="1:8" ht="15" customHeight="1" x14ac:dyDescent="0.25">
      <c r="A82" s="8" t="s">
        <v>53</v>
      </c>
      <c r="B82" s="8" t="s">
        <v>487</v>
      </c>
      <c r="C82" s="8" t="s">
        <v>476</v>
      </c>
      <c r="D82" s="8">
        <v>5</v>
      </c>
      <c r="E82" s="8">
        <v>9.61</v>
      </c>
      <c r="F82" s="8">
        <v>9.61</v>
      </c>
      <c r="G82" s="9" t="s">
        <v>448</v>
      </c>
      <c r="H82" s="46"/>
    </row>
    <row r="83" spans="1:8" ht="15" customHeight="1" x14ac:dyDescent="0.25">
      <c r="A83" s="8" t="s">
        <v>169</v>
      </c>
      <c r="B83" s="8" t="s">
        <v>488</v>
      </c>
      <c r="C83" s="8" t="s">
        <v>476</v>
      </c>
      <c r="D83" s="8">
        <v>5</v>
      </c>
      <c r="E83" s="8">
        <v>9.61</v>
      </c>
      <c r="F83" s="8">
        <v>9.61</v>
      </c>
      <c r="G83" s="9" t="s">
        <v>448</v>
      </c>
      <c r="H83" s="46"/>
    </row>
    <row r="84" spans="1:8" ht="15" customHeight="1" x14ac:dyDescent="0.25">
      <c r="A84" s="8" t="s">
        <v>131</v>
      </c>
      <c r="B84" s="8" t="s">
        <v>489</v>
      </c>
      <c r="C84" s="8" t="s">
        <v>490</v>
      </c>
      <c r="D84" s="8">
        <v>4</v>
      </c>
      <c r="E84" s="8">
        <v>7.29</v>
      </c>
      <c r="F84" s="8">
        <v>7.29</v>
      </c>
      <c r="G84" s="9" t="s">
        <v>448</v>
      </c>
      <c r="H84" s="46"/>
    </row>
    <row r="85" spans="1:8" ht="15" customHeight="1" x14ac:dyDescent="0.25">
      <c r="A85" s="8" t="s">
        <v>132</v>
      </c>
      <c r="B85" s="8" t="s">
        <v>491</v>
      </c>
      <c r="C85" s="8" t="s">
        <v>490</v>
      </c>
      <c r="D85" s="8">
        <v>4</v>
      </c>
      <c r="E85" s="8">
        <v>7.29</v>
      </c>
      <c r="F85" s="8">
        <v>7.29</v>
      </c>
      <c r="G85" s="9" t="s">
        <v>448</v>
      </c>
      <c r="H85" s="46"/>
    </row>
    <row r="86" spans="1:8" ht="15" customHeight="1" x14ac:dyDescent="0.25">
      <c r="A86" s="8" t="s">
        <v>133</v>
      </c>
      <c r="B86" s="8" t="s">
        <v>492</v>
      </c>
      <c r="C86" s="8" t="s">
        <v>490</v>
      </c>
      <c r="D86" s="8">
        <v>4</v>
      </c>
      <c r="E86" s="8">
        <v>7.29</v>
      </c>
      <c r="F86" s="8">
        <v>7.29</v>
      </c>
      <c r="G86" s="9" t="s">
        <v>448</v>
      </c>
      <c r="H86" s="46"/>
    </row>
    <row r="87" spans="1:8" ht="15" customHeight="1" x14ac:dyDescent="0.25">
      <c r="A87" s="8" t="s">
        <v>134</v>
      </c>
      <c r="B87" s="8" t="s">
        <v>493</v>
      </c>
      <c r="C87" s="8" t="s">
        <v>490</v>
      </c>
      <c r="D87" s="8">
        <v>4</v>
      </c>
      <c r="E87" s="8">
        <v>7.29</v>
      </c>
      <c r="F87" s="8">
        <v>7.29</v>
      </c>
      <c r="G87" s="9" t="s">
        <v>448</v>
      </c>
      <c r="H87" s="46"/>
    </row>
    <row r="88" spans="1:8" ht="15" customHeight="1" x14ac:dyDescent="0.25">
      <c r="A88" s="8" t="s">
        <v>135</v>
      </c>
      <c r="B88" s="8" t="s">
        <v>494</v>
      </c>
      <c r="C88" s="8" t="s">
        <v>490</v>
      </c>
      <c r="D88" s="8">
        <v>4</v>
      </c>
      <c r="E88" s="8">
        <v>7.29</v>
      </c>
      <c r="F88" s="8">
        <v>7.29</v>
      </c>
      <c r="G88" s="9" t="s">
        <v>448</v>
      </c>
      <c r="H88" s="46"/>
    </row>
    <row r="89" spans="1:8" ht="15" customHeight="1" x14ac:dyDescent="0.25">
      <c r="A89" s="8" t="s">
        <v>136</v>
      </c>
      <c r="B89" s="8" t="s">
        <v>495</v>
      </c>
      <c r="C89" s="8" t="s">
        <v>490</v>
      </c>
      <c r="D89" s="8">
        <v>4</v>
      </c>
      <c r="E89" s="8">
        <v>7.29</v>
      </c>
      <c r="F89" s="8">
        <v>7.29</v>
      </c>
      <c r="G89" s="9" t="s">
        <v>448</v>
      </c>
      <c r="H89" s="46"/>
    </row>
    <row r="90" spans="1:8" ht="15" customHeight="1" x14ac:dyDescent="0.25">
      <c r="A90" s="8" t="s">
        <v>137</v>
      </c>
      <c r="B90" s="8" t="s">
        <v>496</v>
      </c>
      <c r="C90" s="8" t="s">
        <v>490</v>
      </c>
      <c r="D90" s="8">
        <v>4</v>
      </c>
      <c r="E90" s="8">
        <v>7.29</v>
      </c>
      <c r="F90" s="8">
        <v>7.29</v>
      </c>
      <c r="G90" s="9" t="s">
        <v>448</v>
      </c>
      <c r="H90" s="46"/>
    </row>
    <row r="91" spans="1:8" ht="15" customHeight="1" x14ac:dyDescent="0.25">
      <c r="A91" s="8" t="s">
        <v>138</v>
      </c>
      <c r="B91" s="8" t="s">
        <v>497</v>
      </c>
      <c r="C91" s="8" t="s">
        <v>490</v>
      </c>
      <c r="D91" s="8">
        <v>4</v>
      </c>
      <c r="E91" s="8">
        <v>7.29</v>
      </c>
      <c r="F91" s="8">
        <v>7.29</v>
      </c>
      <c r="G91" s="9" t="s">
        <v>448</v>
      </c>
      <c r="H91" s="46"/>
    </row>
    <row r="92" spans="1:8" ht="15" customHeight="1" x14ac:dyDescent="0.25">
      <c r="A92" s="8" t="s">
        <v>51</v>
      </c>
      <c r="B92" s="8" t="s">
        <v>498</v>
      </c>
      <c r="C92" s="8" t="s">
        <v>490</v>
      </c>
      <c r="D92" s="8">
        <v>4</v>
      </c>
      <c r="E92" s="8">
        <v>7.29</v>
      </c>
      <c r="F92" s="8">
        <v>7.29</v>
      </c>
      <c r="G92" s="9" t="s">
        <v>448</v>
      </c>
      <c r="H92" s="46"/>
    </row>
    <row r="93" spans="1:8" ht="15" customHeight="1" x14ac:dyDescent="0.25">
      <c r="A93" s="8" t="s">
        <v>161</v>
      </c>
      <c r="B93" s="8" t="s">
        <v>499</v>
      </c>
      <c r="C93" s="8" t="s">
        <v>490</v>
      </c>
      <c r="D93" s="8">
        <v>4</v>
      </c>
      <c r="E93" s="8">
        <v>7.29</v>
      </c>
      <c r="F93" s="8">
        <v>7.29</v>
      </c>
      <c r="G93" s="9" t="s">
        <v>448</v>
      </c>
      <c r="H93" s="46"/>
    </row>
    <row r="94" spans="1:8" ht="15" customHeight="1" x14ac:dyDescent="0.25">
      <c r="A94" s="8" t="s">
        <v>162</v>
      </c>
      <c r="B94" s="8" t="s">
        <v>500</v>
      </c>
      <c r="C94" s="8" t="s">
        <v>490</v>
      </c>
      <c r="D94" s="8">
        <v>4</v>
      </c>
      <c r="E94" s="8">
        <v>7.29</v>
      </c>
      <c r="F94" s="8">
        <v>7.29</v>
      </c>
      <c r="G94" s="9" t="s">
        <v>448</v>
      </c>
      <c r="H94" s="46"/>
    </row>
    <row r="95" spans="1:8" ht="15" customHeight="1" x14ac:dyDescent="0.25">
      <c r="A95" s="8" t="s">
        <v>167</v>
      </c>
      <c r="B95" s="8" t="s">
        <v>501</v>
      </c>
      <c r="C95" s="8" t="s">
        <v>490</v>
      </c>
      <c r="D95" s="8">
        <v>4</v>
      </c>
      <c r="E95" s="8">
        <v>7.29</v>
      </c>
      <c r="F95" s="8">
        <v>7.29</v>
      </c>
      <c r="G95" s="9" t="s">
        <v>448</v>
      </c>
      <c r="H95" s="46"/>
    </row>
    <row r="96" spans="1:8" ht="15" customHeight="1" x14ac:dyDescent="0.25">
      <c r="A96" s="8" t="s">
        <v>168</v>
      </c>
      <c r="B96" s="8" t="s">
        <v>502</v>
      </c>
      <c r="C96" s="8" t="s">
        <v>490</v>
      </c>
      <c r="D96" s="8">
        <v>4</v>
      </c>
      <c r="E96" s="8">
        <v>7.29</v>
      </c>
      <c r="F96" s="8">
        <v>7.29</v>
      </c>
      <c r="G96" s="9" t="s">
        <v>448</v>
      </c>
      <c r="H96" s="46"/>
    </row>
    <row r="97" spans="1:8" ht="15" customHeight="1" x14ac:dyDescent="0.25">
      <c r="A97" s="8" t="s">
        <v>139</v>
      </c>
      <c r="B97" s="8" t="s">
        <v>503</v>
      </c>
      <c r="C97" s="8" t="s">
        <v>504</v>
      </c>
      <c r="D97" s="8">
        <v>4</v>
      </c>
      <c r="E97" s="8">
        <v>6.41</v>
      </c>
      <c r="F97" s="8">
        <v>6.41</v>
      </c>
      <c r="G97" s="9" t="s">
        <v>448</v>
      </c>
      <c r="H97" s="46"/>
    </row>
    <row r="98" spans="1:8" ht="15" customHeight="1" x14ac:dyDescent="0.25">
      <c r="A98" s="8" t="s">
        <v>140</v>
      </c>
      <c r="B98" s="8" t="s">
        <v>505</v>
      </c>
      <c r="C98" s="8" t="s">
        <v>504</v>
      </c>
      <c r="D98" s="8">
        <v>4</v>
      </c>
      <c r="E98" s="8">
        <v>6.41</v>
      </c>
      <c r="F98" s="8">
        <v>6.41</v>
      </c>
      <c r="G98" s="9" t="s">
        <v>448</v>
      </c>
      <c r="H98" s="46"/>
    </row>
    <row r="99" spans="1:8" ht="15" customHeight="1" x14ac:dyDescent="0.25">
      <c r="A99" s="8" t="s">
        <v>154</v>
      </c>
      <c r="B99" s="8" t="s">
        <v>506</v>
      </c>
      <c r="C99" s="8" t="s">
        <v>504</v>
      </c>
      <c r="D99" s="8">
        <v>4</v>
      </c>
      <c r="E99" s="8">
        <v>6.41</v>
      </c>
      <c r="F99" s="8">
        <v>6.41</v>
      </c>
      <c r="G99" s="9" t="s">
        <v>448</v>
      </c>
      <c r="H99" s="46"/>
    </row>
    <row r="100" spans="1:8" ht="15" customHeight="1" x14ac:dyDescent="0.25">
      <c r="A100" s="8" t="s">
        <v>55</v>
      </c>
      <c r="B100" s="8" t="s">
        <v>507</v>
      </c>
      <c r="C100" s="8" t="s">
        <v>508</v>
      </c>
      <c r="D100" s="8">
        <v>8</v>
      </c>
      <c r="E100" s="8">
        <v>26.46</v>
      </c>
      <c r="F100" s="8">
        <v>26.46</v>
      </c>
      <c r="G100" s="10" t="s">
        <v>509</v>
      </c>
      <c r="H100" s="46"/>
    </row>
    <row r="101" spans="1:8" ht="15" customHeight="1" x14ac:dyDescent="0.25">
      <c r="A101" s="8" t="s">
        <v>175</v>
      </c>
      <c r="B101" s="8" t="s">
        <v>510</v>
      </c>
      <c r="C101" s="8" t="s">
        <v>508</v>
      </c>
      <c r="D101" s="8">
        <v>8</v>
      </c>
      <c r="E101" s="8">
        <v>26.46</v>
      </c>
      <c r="F101" s="8">
        <v>26.46</v>
      </c>
      <c r="G101" s="10" t="s">
        <v>509</v>
      </c>
      <c r="H101" s="46"/>
    </row>
    <row r="102" spans="1:8" ht="15" customHeight="1" x14ac:dyDescent="0.25">
      <c r="A102" s="8" t="s">
        <v>181</v>
      </c>
      <c r="B102" s="8" t="s">
        <v>511</v>
      </c>
      <c r="C102" s="8" t="s">
        <v>508</v>
      </c>
      <c r="D102" s="8">
        <v>8</v>
      </c>
      <c r="E102" s="8">
        <v>26.46</v>
      </c>
      <c r="F102" s="8">
        <v>26.46</v>
      </c>
      <c r="G102" s="10" t="s">
        <v>509</v>
      </c>
      <c r="H102" s="46"/>
    </row>
    <row r="103" spans="1:8" ht="15" customHeight="1" x14ac:dyDescent="0.25">
      <c r="A103" s="8" t="s">
        <v>182</v>
      </c>
      <c r="B103" s="8" t="s">
        <v>512</v>
      </c>
      <c r="C103" s="8" t="s">
        <v>508</v>
      </c>
      <c r="D103" s="8">
        <v>8</v>
      </c>
      <c r="E103" s="8">
        <v>26.46</v>
      </c>
      <c r="F103" s="8">
        <v>26.46</v>
      </c>
      <c r="G103" s="10" t="s">
        <v>509</v>
      </c>
      <c r="H103" s="46"/>
    </row>
    <row r="104" spans="1:8" ht="15" customHeight="1" x14ac:dyDescent="0.25">
      <c r="A104" s="8" t="s">
        <v>172</v>
      </c>
      <c r="B104" s="8" t="s">
        <v>513</v>
      </c>
      <c r="C104" s="8" t="s">
        <v>514</v>
      </c>
      <c r="D104" s="8">
        <v>7</v>
      </c>
      <c r="E104" s="8">
        <v>23.52</v>
      </c>
      <c r="F104" s="8">
        <v>23.52</v>
      </c>
      <c r="G104" s="10" t="s">
        <v>509</v>
      </c>
      <c r="H104" s="46"/>
    </row>
    <row r="105" spans="1:8" ht="15" customHeight="1" x14ac:dyDescent="0.25">
      <c r="A105" s="8" t="s">
        <v>174</v>
      </c>
      <c r="B105" s="8" t="s">
        <v>515</v>
      </c>
      <c r="C105" s="8" t="s">
        <v>514</v>
      </c>
      <c r="D105" s="8">
        <v>7</v>
      </c>
      <c r="E105" s="8">
        <v>23.52</v>
      </c>
      <c r="F105" s="8">
        <v>23.52</v>
      </c>
      <c r="G105" s="10" t="s">
        <v>509</v>
      </c>
      <c r="H105" s="46"/>
    </row>
    <row r="106" spans="1:8" ht="15" customHeight="1" x14ac:dyDescent="0.25">
      <c r="A106" s="8" t="s">
        <v>54</v>
      </c>
      <c r="B106" s="8" t="s">
        <v>516</v>
      </c>
      <c r="C106" s="8" t="s">
        <v>514</v>
      </c>
      <c r="D106" s="8">
        <v>7</v>
      </c>
      <c r="E106" s="8">
        <v>23.52</v>
      </c>
      <c r="F106" s="8">
        <v>23.52</v>
      </c>
      <c r="G106" s="10" t="s">
        <v>509</v>
      </c>
      <c r="H106" s="46"/>
    </row>
    <row r="107" spans="1:8" ht="15" customHeight="1" x14ac:dyDescent="0.25">
      <c r="A107" s="8" t="s">
        <v>62</v>
      </c>
      <c r="B107" s="8" t="s">
        <v>517</v>
      </c>
      <c r="C107" s="8" t="s">
        <v>514</v>
      </c>
      <c r="D107" s="8">
        <v>7</v>
      </c>
      <c r="E107" s="8">
        <v>23.52</v>
      </c>
      <c r="F107" s="8">
        <v>23.52</v>
      </c>
      <c r="G107" s="10" t="s">
        <v>509</v>
      </c>
      <c r="H107" s="46"/>
    </row>
    <row r="108" spans="1:8" ht="15" customHeight="1" x14ac:dyDescent="0.25">
      <c r="A108" s="8" t="s">
        <v>59</v>
      </c>
      <c r="B108" s="8" t="s">
        <v>518</v>
      </c>
      <c r="C108" s="8" t="s">
        <v>514</v>
      </c>
      <c r="D108" s="8">
        <v>7</v>
      </c>
      <c r="E108" s="8">
        <v>23.52</v>
      </c>
      <c r="F108" s="8">
        <v>23.52</v>
      </c>
      <c r="G108" s="10" t="s">
        <v>509</v>
      </c>
      <c r="H108" s="46"/>
    </row>
    <row r="109" spans="1:8" ht="15" customHeight="1" x14ac:dyDescent="0.25">
      <c r="A109" s="8" t="s">
        <v>176</v>
      </c>
      <c r="B109" s="8" t="s">
        <v>519</v>
      </c>
      <c r="C109" s="8" t="s">
        <v>514</v>
      </c>
      <c r="D109" s="8">
        <v>7</v>
      </c>
      <c r="E109" s="8">
        <v>23.52</v>
      </c>
      <c r="F109" s="8">
        <v>23.52</v>
      </c>
      <c r="G109" s="10" t="s">
        <v>509</v>
      </c>
      <c r="H109" s="46"/>
    </row>
    <row r="110" spans="1:8" ht="15" customHeight="1" x14ac:dyDescent="0.25">
      <c r="A110" s="8" t="s">
        <v>177</v>
      </c>
      <c r="B110" s="8" t="s">
        <v>520</v>
      </c>
      <c r="C110" s="8" t="s">
        <v>514</v>
      </c>
      <c r="D110" s="8">
        <v>7</v>
      </c>
      <c r="E110" s="8">
        <v>23.52</v>
      </c>
      <c r="F110" s="8">
        <v>23.52</v>
      </c>
      <c r="G110" s="10" t="s">
        <v>509</v>
      </c>
      <c r="H110" s="46"/>
    </row>
    <row r="111" spans="1:8" ht="15" customHeight="1" x14ac:dyDescent="0.25">
      <c r="A111" s="8" t="s">
        <v>178</v>
      </c>
      <c r="B111" s="8" t="s">
        <v>521</v>
      </c>
      <c r="C111" s="8" t="s">
        <v>514</v>
      </c>
      <c r="D111" s="8">
        <v>7</v>
      </c>
      <c r="E111" s="8">
        <v>23.52</v>
      </c>
      <c r="F111" s="8">
        <v>23.52</v>
      </c>
      <c r="G111" s="10" t="s">
        <v>509</v>
      </c>
      <c r="H111" s="46"/>
    </row>
    <row r="112" spans="1:8" ht="15" customHeight="1" x14ac:dyDescent="0.25">
      <c r="A112" s="8" t="s">
        <v>179</v>
      </c>
      <c r="B112" s="8" t="s">
        <v>522</v>
      </c>
      <c r="C112" s="8" t="s">
        <v>514</v>
      </c>
      <c r="D112" s="8">
        <v>7</v>
      </c>
      <c r="E112" s="8">
        <v>23.52</v>
      </c>
      <c r="F112" s="8">
        <v>23.52</v>
      </c>
      <c r="G112" s="10" t="s">
        <v>509</v>
      </c>
      <c r="H112" s="46"/>
    </row>
    <row r="113" spans="1:8" ht="15" customHeight="1" x14ac:dyDescent="0.25">
      <c r="A113" s="8" t="s">
        <v>61</v>
      </c>
      <c r="B113" s="8" t="s">
        <v>523</v>
      </c>
      <c r="C113" s="8" t="s">
        <v>514</v>
      </c>
      <c r="D113" s="8">
        <v>7</v>
      </c>
      <c r="E113" s="8">
        <v>23.52</v>
      </c>
      <c r="F113" s="8">
        <v>23.52</v>
      </c>
      <c r="G113" s="10" t="s">
        <v>509</v>
      </c>
      <c r="H113" s="46"/>
    </row>
    <row r="114" spans="1:8" ht="15" customHeight="1" x14ac:dyDescent="0.25">
      <c r="A114" s="8" t="s">
        <v>180</v>
      </c>
      <c r="B114" s="8" t="s">
        <v>524</v>
      </c>
      <c r="C114" s="8" t="s">
        <v>514</v>
      </c>
      <c r="D114" s="8">
        <v>7</v>
      </c>
      <c r="E114" s="8">
        <v>23.52</v>
      </c>
      <c r="F114" s="8">
        <v>23.52</v>
      </c>
      <c r="G114" s="10" t="s">
        <v>509</v>
      </c>
      <c r="H114" s="46"/>
    </row>
    <row r="115" spans="1:8" ht="15" customHeight="1" x14ac:dyDescent="0.25">
      <c r="A115" s="8" t="s">
        <v>183</v>
      </c>
      <c r="B115" s="8" t="s">
        <v>525</v>
      </c>
      <c r="C115" s="8" t="s">
        <v>514</v>
      </c>
      <c r="D115" s="8">
        <v>7</v>
      </c>
      <c r="E115" s="8">
        <v>23.52</v>
      </c>
      <c r="F115" s="8">
        <v>23.52</v>
      </c>
      <c r="G115" s="10" t="s">
        <v>509</v>
      </c>
      <c r="H115" s="46"/>
    </row>
    <row r="116" spans="1:8" ht="15" customHeight="1" x14ac:dyDescent="0.25">
      <c r="A116" s="8" t="s">
        <v>184</v>
      </c>
      <c r="B116" s="8" t="s">
        <v>526</v>
      </c>
      <c r="C116" s="8" t="s">
        <v>514</v>
      </c>
      <c r="D116" s="8">
        <v>7</v>
      </c>
      <c r="E116" s="8">
        <v>23.52</v>
      </c>
      <c r="F116" s="8">
        <v>23.52</v>
      </c>
      <c r="G116" s="10" t="s">
        <v>509</v>
      </c>
      <c r="H116" s="46"/>
    </row>
    <row r="117" spans="1:8" ht="15" customHeight="1" x14ac:dyDescent="0.25">
      <c r="A117" s="8" t="s">
        <v>185</v>
      </c>
      <c r="B117" s="8" t="s">
        <v>527</v>
      </c>
      <c r="C117" s="8" t="s">
        <v>514</v>
      </c>
      <c r="D117" s="8">
        <v>7</v>
      </c>
      <c r="E117" s="8">
        <v>23.52</v>
      </c>
      <c r="F117" s="8">
        <v>23.52</v>
      </c>
      <c r="G117" s="10" t="s">
        <v>509</v>
      </c>
      <c r="H117" s="46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528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529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2026-08-31T17:39:24Z</dcterms:modified>
  <dc:language>en-US</dc:language>
</cp:coreProperties>
</file>