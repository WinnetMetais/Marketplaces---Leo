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EIA-ME" sheetId="1" state="visible" r:id="rId3"/>
    <sheet name="Resumo" sheetId="2" state="visible" r:id="rId4"/>
    <sheet name="Simulador" sheetId="3" state="visible" r:id="rId5"/>
    <sheet name="Registro_Vendas" sheetId="4" state="visible" r:id="rId6"/>
    <sheet name="Livro_Vendas" sheetId="5" state="visible" r:id="rId7"/>
    <sheet name="Novo_Produto" sheetId="6" state="visible" r:id="rId8"/>
    <sheet name="Ref_Frete" sheetId="7" state="visible" r:id="rId9"/>
    <sheet name="Classificação_Frete" sheetId="8" state="visible" r:id="rId10"/>
    <sheet name="Listas" sheetId="9" state="hidden" r:id="rId11"/>
  </sheets>
  <definedNames>
    <definedName function="false" hidden="true" localSheetId="2" name="_xlnm._FilterDatabase" vbProcedure="false">Simulador!$A$6:$P$232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<sst xmlns="http://schemas.openxmlformats.org/spreadsheetml/2006/main" count="1829" uniqueCount="558">
  <si>
    <t xml:space="preserve">PLANILHA MESTRA WINNET — precificação, margem e frete em um lugar só</t>
  </si>
  <si>
    <t xml:space="preserve">Resumo</t>
  </si>
  <si>
    <t xml:space="preserve">Fotografia executiva das margens (23/07, tarifas reais). Me peça pra regenerar após grandes edições no Simulador.</t>
  </si>
  <si>
    <t xml:space="preserve">Simulador</t>
  </si>
  <si>
    <t xml:space="preserve">O coração: 113 SKUs × 2 regiões, vivo. Edite preços/custos/tarifas e vereditos recalculam. Filtre a coluna Veredito pra ver a fila vermelha.</t>
  </si>
  <si>
    <t xml:space="preserve">Novo_Produto</t>
  </si>
  <si>
    <t xml:space="preserve">Produto novo? Digite dimensões da caixa, peso, custo e margem alvo → ela devolve a classe de frete e o PREÇO SUGERIDO. Depois teste seu preço na coluna P e veja a margem/veredito.</t>
  </si>
  <si>
    <t xml:space="preserve">Ref_Frete</t>
  </si>
  <si>
    <t xml:space="preserve">Tabela de apoio (53 regiões × custo real e cobrança das 3 classes). Alimenta as outras abas — só edite se os modelos WN mudarem na Amazon.</t>
  </si>
  <si>
    <t xml:space="preserve">Classificação_Frete</t>
  </si>
  <si>
    <t xml:space="preserve">Os 113 SKUs com peso cubado e classe validada por cotação. Consulta e histórico das reclassificações.</t>
  </si>
  <si>
    <t xml:space="preserve">Registro_Vendas / Livro_Vendas</t>
  </si>
  <si>
    <t xml:space="preserve">Registro: cada venda com margem real (linhas prontas até a 105 — NUNCA use "Inserir linha"; pedido multi-SKU = uma linha por SKU, frete só na 1ª). Livro: histórico pedido a pedido com origem Ads/Orgânico e resumo mensal.</t>
  </si>
  <si>
    <t xml:space="preserve">Arquivos externos:</t>
  </si>
  <si>
    <t xml:space="preserve">Plano_Implementacao_Amazon_Ads (operação do Ads, semanal) · Modelos_Frete (arquivo morto/backup — valores já na Amazon) · Simulador v2 (obsoleto, pode excluir).</t>
  </si>
  <si>
    <t xml:space="preserve">RESUMO EXECUTIVO — pós-cirurgia completa (24/07)</t>
  </si>
  <si>
    <t xml:space="preserve">SP Interior = cenário real (maioria do volume). RS Capital = teste de estresse (região de MAIOR subsídio — abaixo da meta ali é efeito do frete competitivo escolhido, não erro de preço).</t>
  </si>
  <si>
    <t xml:space="preserve">CONTAGEM POR VEREDITO</t>
  </si>
  <si>
    <t xml:space="preserve">Veredito</t>
  </si>
  <si>
    <t xml:space="preserve">SP Interior (real)</t>
  </si>
  <si>
    <t xml:space="preserve">RS Capital (estresse)</t>
  </si>
  <si>
    <t xml:space="preserve">ACIMA DA META (&gt;20%)</t>
  </si>
  <si>
    <t xml:space="preserve">DENTRO DA META (15-20%)</t>
  </si>
  <si>
    <t xml:space="preserve">ABAIXO DA META (10-15%)</t>
  </si>
  <si>
    <t xml:space="preserve">CRÍTICO (&lt;10%)</t>
  </si>
  <si>
    <t xml:space="preserve">PREJUÍZO</t>
  </si>
  <si>
    <t xml:space="preserve">SP INTERIOR — 12 MENORES MARGENS (todas ≥15%: catálogo 100% saudável no cenário real)</t>
  </si>
  <si>
    <t xml:space="preserve">SKU</t>
  </si>
  <si>
    <t xml:space="preserve">Margem SP</t>
  </si>
  <si>
    <t xml:space="preserve">Lucro/venda</t>
  </si>
  <si>
    <t xml:space="preserve">EMB-05</t>
  </si>
  <si>
    <t xml:space="preserve">L2025-B</t>
  </si>
  <si>
    <t xml:space="preserve">Q2430-B</t>
  </si>
  <si>
    <t xml:space="preserve">L1623-T</t>
  </si>
  <si>
    <t xml:space="preserve">L1618-A</t>
  </si>
  <si>
    <t xml:space="preserve">SP-PP</t>
  </si>
  <si>
    <t xml:space="preserve">L2430-B</t>
  </si>
  <si>
    <t xml:space="preserve">L1618-T</t>
  </si>
  <si>
    <t xml:space="preserve">L2450-AML</t>
  </si>
  <si>
    <t xml:space="preserve">L2430-AML</t>
  </si>
  <si>
    <t xml:space="preserve">L2425-B</t>
  </si>
  <si>
    <t xml:space="preserve">L2430-A</t>
  </si>
  <si>
    <t xml:space="preserve">RS CAPITAL — 10 QUE MAIS SOFREM NO ESTRESSE (efeito do subsídio; reavaliar em 30 dias com vendas reais)</t>
  </si>
  <si>
    <t xml:space="preserve">Margem RS</t>
  </si>
  <si>
    <t xml:space="preserve">L1618</t>
  </si>
  <si>
    <t xml:space="preserve">L2025</t>
  </si>
  <si>
    <t xml:space="preserve">L2030</t>
  </si>
  <si>
    <t xml:space="preserve">L1623</t>
  </si>
  <si>
    <t xml:space="preserve">L1623-A</t>
  </si>
  <si>
    <t xml:space="preserve">L2025-A</t>
  </si>
  <si>
    <t xml:space="preserve">SP — TOP 12 MAIS LUCRATIVOS (prioridade Ads/promoções)</t>
  </si>
  <si>
    <t xml:space="preserve">L2470-CZ</t>
  </si>
  <si>
    <t xml:space="preserve">P3060</t>
  </si>
  <si>
    <t xml:space="preserve">Q3060-A</t>
  </si>
  <si>
    <t xml:space="preserve">L4080-A</t>
  </si>
  <si>
    <t xml:space="preserve">L4090-A</t>
  </si>
  <si>
    <t xml:space="preserve">P3070ALC</t>
  </si>
  <si>
    <t xml:space="preserve">P3070</t>
  </si>
  <si>
    <t xml:space="preserve">P4060</t>
  </si>
  <si>
    <t xml:space="preserve">P4070</t>
  </si>
  <si>
    <t xml:space="preserve">PG4050</t>
  </si>
  <si>
    <t xml:space="preserve">P4080</t>
  </si>
  <si>
    <t xml:space="preserve">L4080-B</t>
  </si>
  <si>
    <t xml:space="preserve">AGUENTAM PROMOÇÃO 5% (margem SP ≥19%): 101 SKUs</t>
  </si>
  <si>
    <t xml:space="preserve">EGC · EMB-03 · EMB-03P · EMB-05P · EMB-08 · L1618 · L1618-B · L1623</t>
  </si>
  <si>
    <t xml:space="preserve">L1623-A · L1623-B · L2025 · L2025-A · L2025-T · L2030 · L2030-A · L2030-B</t>
  </si>
  <si>
    <t xml:space="preserve">L2030-T · L2425-A · L2425-AML · L2440-A · L2440-AML · L2440-B · L2450--CZ · L2450-A</t>
  </si>
  <si>
    <t xml:space="preserve">L2450-B · L2460-A · L2460-AML · L2460-B · L2460-CP · L2460-CZ · L2470-A · L2470-AML</t>
  </si>
  <si>
    <t xml:space="preserve">L2470-B · L2470-CZ · L3040-A · L3040-B · L3050-A · L3050-B · L3060-A · L3060-AML</t>
  </si>
  <si>
    <t xml:space="preserve">L3060-B · L3070-A · L3070-AML · L3070-B · L3085-B · L4050-A · L4050-B · L4060-A</t>
  </si>
  <si>
    <t xml:space="preserve">L4060-B · L4070-B · L4075-B · L4080-A · L4080-B · L4090-A · L4090-B · P1623</t>
  </si>
  <si>
    <t xml:space="preserve">P2025 · P2030 · P2425 · P2430 · P2440 · P3040 · P3050 · P3050ALC</t>
  </si>
  <si>
    <t xml:space="preserve">P3060 · P3060ALC · P3070 · P3070ALC · P4050 · P4050ALC · P4060 · P4060ALC</t>
  </si>
  <si>
    <t xml:space="preserve">P4070 · P4070ALC · P4070RA · P4075 · P4075ALC · P4080 · P4080ALC · P4090</t>
  </si>
  <si>
    <t xml:space="preserve">P4090ALC · PG2450 · PG2460 · PG2470 · PG3060 · PG3070 · PG4050 · PG4080</t>
  </si>
  <si>
    <t xml:space="preserve">PQ-3060 · PXM · PXP · Q2430-A · Q2460-A · Q2460-B · Q3060-A · Q3060-B</t>
  </si>
  <si>
    <t xml:space="preserve">Q4070-A · Q4070-B · SP-01 · SP-FF · SP-T</t>
  </si>
  <si>
    <t xml:space="preserve">SIMULADOR DE MARGEM v3 — CATÁLOGO COMPLETO (113 SKUs × SP Interior + RS Capital)</t>
  </si>
  <si>
    <t xml:space="preserve">Tarifa estimada automaticamente (célula H3 × (preço+frete)); sobrescreva com o valor real do extrato quando tiver. Cupom em 0 (pós-corte).</t>
  </si>
  <si>
    <t xml:space="preserve">Impostos (%):</t>
  </si>
  <si>
    <t xml:space="preserve">Tarifa padrão Amazon (%):</t>
  </si>
  <si>
    <t xml:space="preserve">Classe</t>
  </si>
  <si>
    <t xml:space="preserve">Região</t>
  </si>
  <si>
    <t xml:space="preserve">Preço de venda (R$)</t>
  </si>
  <si>
    <t xml:space="preserve">Cupom (%)</t>
  </si>
  <si>
    <t xml:space="preserve">Custo do produto (R$)</t>
  </si>
  <si>
    <t xml:space="preserve">Tarifa Amazon (R$)</t>
  </si>
  <si>
    <t xml:space="preserve">Receita pós-cupom (R$)</t>
  </si>
  <si>
    <t xml:space="preserve">Tarifa (%)</t>
  </si>
  <si>
    <t xml:space="preserve">Frete cobrado (R$)</t>
  </si>
  <si>
    <t xml:space="preserve">Frete real (R$)</t>
  </si>
  <si>
    <t xml:space="preserve">Resultado do frete (R$)</t>
  </si>
  <si>
    <t xml:space="preserve">Lucro líquido (R$)</t>
  </si>
  <si>
    <t xml:space="preserve">Margem (%)</t>
  </si>
  <si>
    <t xml:space="preserve">Observação</t>
  </si>
  <si>
    <t xml:space="preserve">EMB-03</t>
  </si>
  <si>
    <t xml:space="preserve">Pequenos</t>
  </si>
  <si>
    <t xml:space="preserve">Rio Grande do Sul Capital</t>
  </si>
  <si>
    <t xml:space="preserve">São Paulo Interior</t>
  </si>
  <si>
    <t xml:space="preserve">EMB-03P</t>
  </si>
  <si>
    <t xml:space="preserve">Preço +R$50 conforme instrução Dianna. Custo 127,42 = estimativa (+30 s/ polida) — confirmar custo REAL da pintura com produção</t>
  </si>
  <si>
    <t xml:space="preserve">EMB-05P</t>
  </si>
  <si>
    <t xml:space="preserve">Preço +R$50 conforme instrução Dianna. Custo 154,46 = estimativa (+20 s/ polida) — confirmar custo REAL da pintura com produção</t>
  </si>
  <si>
    <t xml:space="preserve">EMB-08</t>
  </si>
  <si>
    <t xml:space="preserve">L1618-B</t>
  </si>
  <si>
    <t xml:space="preserve">L1623-B</t>
  </si>
  <si>
    <t xml:space="preserve">L2025-T</t>
  </si>
  <si>
    <t xml:space="preserve">L2030-A</t>
  </si>
  <si>
    <t xml:space="preserve">L2030-B</t>
  </si>
  <si>
    <t xml:space="preserve">L2030-T</t>
  </si>
  <si>
    <t xml:space="preserve">L2425-A</t>
  </si>
  <si>
    <t xml:space="preserve">L2425-AML</t>
  </si>
  <si>
    <t xml:space="preserve">L2440-A</t>
  </si>
  <si>
    <t xml:space="preserve">L2440-AML</t>
  </si>
  <si>
    <t xml:space="preserve">L2440-B</t>
  </si>
  <si>
    <t xml:space="preserve">L2450--CZ</t>
  </si>
  <si>
    <t xml:space="preserve">L2450-A</t>
  </si>
  <si>
    <t xml:space="preserve">L2450-B</t>
  </si>
  <si>
    <t xml:space="preserve">P1623</t>
  </si>
  <si>
    <t xml:space="preserve">P2025</t>
  </si>
  <si>
    <t xml:space="preserve">P2030</t>
  </si>
  <si>
    <t xml:space="preserve">P2425</t>
  </si>
  <si>
    <t xml:space="preserve">P2430</t>
  </si>
  <si>
    <t xml:space="preserve">P2440</t>
  </si>
  <si>
    <t xml:space="preserve">PG2450</t>
  </si>
  <si>
    <t xml:space="preserve">PXM</t>
  </si>
  <si>
    <t xml:space="preserve">PXP</t>
  </si>
  <si>
    <t xml:space="preserve">Q2430-A</t>
  </si>
  <si>
    <t xml:space="preserve">Conferir: Amazon=Pequenos, classificação v4 indicava Medios (~7,5 kg cubado)</t>
  </si>
  <si>
    <t xml:space="preserve">EGC</t>
  </si>
  <si>
    <t xml:space="preserve">Medios</t>
  </si>
  <si>
    <t xml:space="preserve">L2460-A</t>
  </si>
  <si>
    <t xml:space="preserve">L2460-AML</t>
  </si>
  <si>
    <t xml:space="preserve">L2460-B</t>
  </si>
  <si>
    <t xml:space="preserve">L2460-CP</t>
  </si>
  <si>
    <t xml:space="preserve">L2460-CZ</t>
  </si>
  <si>
    <t xml:space="preserve">L2470-A</t>
  </si>
  <si>
    <t xml:space="preserve">L2470-AML</t>
  </si>
  <si>
    <t xml:space="preserve">L2470-B</t>
  </si>
  <si>
    <t xml:space="preserve">L3040-A</t>
  </si>
  <si>
    <t xml:space="preserve">L3040-B</t>
  </si>
  <si>
    <t xml:space="preserve">L3050-A</t>
  </si>
  <si>
    <t xml:space="preserve">L3050-B</t>
  </si>
  <si>
    <t xml:space="preserve">L3060-A</t>
  </si>
  <si>
    <t xml:space="preserve">L3060-AML</t>
  </si>
  <si>
    <t xml:space="preserve">L3060-B</t>
  </si>
  <si>
    <t xml:space="preserve">L3070-A</t>
  </si>
  <si>
    <t xml:space="preserve">L3070-AML</t>
  </si>
  <si>
    <t xml:space="preserve">L3070-B</t>
  </si>
  <si>
    <t xml:space="preserve">L3085-B</t>
  </si>
  <si>
    <t xml:space="preserve">L4050-A</t>
  </si>
  <si>
    <t xml:space="preserve">L4050-B</t>
  </si>
  <si>
    <t xml:space="preserve">L4060-A</t>
  </si>
  <si>
    <t xml:space="preserve">L4060-B</t>
  </si>
  <si>
    <t xml:space="preserve">P3040</t>
  </si>
  <si>
    <t xml:space="preserve">P3050</t>
  </si>
  <si>
    <t xml:space="preserve">P3050ALC</t>
  </si>
  <si>
    <t xml:space="preserve">P3060ALC</t>
  </si>
  <si>
    <t xml:space="preserve">P4050</t>
  </si>
  <si>
    <t xml:space="preserve">P4050ALC</t>
  </si>
  <si>
    <t xml:space="preserve">P4060ALC</t>
  </si>
  <si>
    <t xml:space="preserve">PG2460</t>
  </si>
  <si>
    <t xml:space="preserve">PG2470</t>
  </si>
  <si>
    <t xml:space="preserve">PG3060</t>
  </si>
  <si>
    <t xml:space="preserve">PG3070</t>
  </si>
  <si>
    <t xml:space="preserve">PQ-3060</t>
  </si>
  <si>
    <t xml:space="preserve">SEM ESTOQUE no momento</t>
  </si>
  <si>
    <t xml:space="preserve">Q2460-A</t>
  </si>
  <si>
    <t xml:space="preserve">Q2460-B</t>
  </si>
  <si>
    <t xml:space="preserve">Q3060-B</t>
  </si>
  <si>
    <t xml:space="preserve">SP-01</t>
  </si>
  <si>
    <t xml:space="preserve">SP-FF</t>
  </si>
  <si>
    <t xml:space="preserve">L4070-B</t>
  </si>
  <si>
    <t xml:space="preserve">Grandes</t>
  </si>
  <si>
    <t xml:space="preserve">L4075-B</t>
  </si>
  <si>
    <t xml:space="preserve">L4090-B</t>
  </si>
  <si>
    <t xml:space="preserve">P4070ALC</t>
  </si>
  <si>
    <t xml:space="preserve">P4070RA</t>
  </si>
  <si>
    <t xml:space="preserve">P4075</t>
  </si>
  <si>
    <t xml:space="preserve">P4075ALC</t>
  </si>
  <si>
    <t xml:space="preserve">P4080ALC</t>
  </si>
  <si>
    <t xml:space="preserve">P4090</t>
  </si>
  <si>
    <t xml:space="preserve">P4090ALC</t>
  </si>
  <si>
    <t xml:space="preserve">PG4080</t>
  </si>
  <si>
    <t xml:space="preserve">Q4070-A</t>
  </si>
  <si>
    <t xml:space="preserve">Q4070-B</t>
  </si>
  <si>
    <t xml:space="preserve">SP-T</t>
  </si>
  <si>
    <t xml:space="preserve">Classe Médios validada por cotação em 13/08. Conferir no Seller Central se o SKU SP-T já está atribuído ao modelo WN - Medios; a cobrança efetiva ao cliente depende da configuração vigente na Amazon.</t>
  </si>
  <si>
    <t xml:space="preserve">REGISTRO DE VENDAS — lucro real venda a venda</t>
  </si>
  <si>
    <t xml:space="preserve">Preencha as colunas AZUIS. PEDIDO COM VÁRIOS SKUs: uma linha por SKU (mesma data e nº de pedido), frete cobrado e frete real SÓ NA 1ª LINHA — nas demais digite 0 por cima. Tarifa: estimada; sobrescreva com a real do extrato.</t>
  </si>
  <si>
    <t xml:space="preserve">Imposto (%):</t>
  </si>
  <si>
    <t xml:space="preserve">Tarifa padrão (%):</t>
  </si>
  <si>
    <t xml:space="preserve">Data</t>
  </si>
  <si>
    <t xml:space="preserve">Qtd</t>
  </si>
  <si>
    <t xml:space="preserve">Região destino</t>
  </si>
  <si>
    <t xml:space="preserve">Preço unit. (R$)</t>
  </si>
  <si>
    <t xml:space="preserve">Desconto/promo total (R$)</t>
  </si>
  <si>
    <t xml:space="preserve">Receita produtos (R$)</t>
  </si>
  <si>
    <t xml:space="preserve">Frete cobrado do cliente (R$)</t>
  </si>
  <si>
    <t xml:space="preserve">Frete real pago (R$)</t>
  </si>
  <si>
    <t xml:space="preserve">Custo produtos (R$)</t>
  </si>
  <si>
    <t xml:space="preserve">Imposto (R$)</t>
  </si>
  <si>
    <t xml:space="preserve">LUCRO (R$)</t>
  </si>
  <si>
    <t xml:space="preserve">Margem</t>
  </si>
  <si>
    <t xml:space="preserve">Nº do Pedido / Obs</t>
  </si>
  <si>
    <t xml:space="preserve">Origem</t>
  </si>
  <si>
    <t xml:space="preserve">Distrito Federal</t>
  </si>
  <si>
    <t xml:space="preserve">Orgânico</t>
  </si>
  <si>
    <t xml:space="preserve">Minas Gerais Interior</t>
  </si>
  <si>
    <t xml:space="preserve">Geral DBA</t>
  </si>
  <si>
    <t xml:space="preserve">Ads</t>
  </si>
  <si>
    <t xml:space="preserve">São Paulo Capital</t>
  </si>
  <si>
    <t xml:space="preserve">Relatório Ads registra como L2425-B — conferir SKU</t>
  </si>
  <si>
    <t xml:space="preserve">Paraná Capital</t>
  </si>
  <si>
    <t xml:space="preserve">Preço da época (pré-reajuste; atual 104,90).</t>
  </si>
  <si>
    <t xml:space="preserve">Rio de Janeiro Capital</t>
  </si>
  <si>
    <t xml:space="preserve">auto - termo "coletor de pilhas"</t>
  </si>
  <si>
    <t xml:space="preserve">PI - ASIN B0G9B9RCMF</t>
  </si>
  <si>
    <t xml:space="preserve">Preço da época (pré-reajuste; atual 259,90). Relatório Ads registra como L2025 — conferir SKU</t>
  </si>
  <si>
    <t xml:space="preserve">auto - "suporte para guarda chuva"</t>
  </si>
  <si>
    <t xml:space="preserve">Órfã 26/06 identificada: 2× PXP (335,78)</t>
  </si>
  <si>
    <t xml:space="preserve">Rio Grande do Norte Capital</t>
  </si>
  <si>
    <t xml:space="preserve">PI - ASIN B0C5JTQBXF</t>
  </si>
  <si>
    <t xml:space="preserve">PI - ASIN B0CYWMQ93Y</t>
  </si>
  <si>
    <t xml:space="preserve">painel indica pedido em 01/07</t>
  </si>
  <si>
    <t xml:space="preserve">Goiás Capital</t>
  </si>
  <si>
    <t xml:space="preserve">Pedido conjunto Goiânia (PXP+PXM 02/07) — frete do pedido NESTA linha</t>
  </si>
  <si>
    <t xml:space="preserve">Mesmo pedido da linha 20 — frete zerado aqui</t>
  </si>
  <si>
    <t xml:space="preserve">Bahia Capital</t>
  </si>
  <si>
    <t xml:space="preserve">Código do catálogo é L2450--CZ (hífen duplo). Preencher região e frete real</t>
  </si>
  <si>
    <t xml:space="preserve">Preencher região e frete real</t>
  </si>
  <si>
    <t xml:space="preserve">Ceará Capital</t>
  </si>
  <si>
    <t xml:space="preserve">auto — "suporte p/ extintor de 6 kg" · região/frete a preencher</t>
  </si>
  <si>
    <t xml:space="preserve">Venda do termo "lixeira pia" (ACOS 48% — caso da O1)</t>
  </si>
  <si>
    <t xml:space="preserve">2ª venda do P3050 via Ads</t>
  </si>
  <si>
    <t xml:space="preserve">PI PXM · região/frete a preencher</t>
  </si>
  <si>
    <t xml:space="preserve">auto · região/frete a preencher</t>
  </si>
  <si>
    <t xml:space="preserve">Pedido Franca 701-0789914-6289838 · frete SÓ nesta linha (real a preencher)</t>
  </si>
  <si>
    <t xml:space="preserve">Pedido Franca — frete zerado (está na 1ª linha)</t>
  </si>
  <si>
    <t xml:space="preserve">Pernambuco Capital</t>
  </si>
  <si>
    <t xml:space="preserve">PROMOÇÃO 5% — 1º resgate · região/frete a preencher</t>
  </si>
  <si>
    <t xml:space="preserve">Rio de Janeiro Interior</t>
  </si>
  <si>
    <t xml:space="preserve">Relatório Ads atribui apenas 1 das 2 vendas de R$116 (a de 09/07); esta é orgânica</t>
  </si>
  <si>
    <t xml:space="preserve">1º de 2 pedidos do dia · região/frete a preencher</t>
  </si>
  <si>
    <t xml:space="preserve">2º pedido — divisão 1u/2u estimada · região/frete a preencher</t>
  </si>
  <si>
    <t xml:space="preserve">Alagoas Interior</t>
  </si>
  <si>
    <t xml:space="preserve">Paraíba Capital</t>
  </si>
  <si>
    <t xml:space="preserve">Minas Gerais Capital</t>
  </si>
  <si>
    <t xml:space="preserve">Mato Grosso do Sul Capital</t>
  </si>
  <si>
    <t xml:space="preserve">TOTAIS</t>
  </si>
  <si>
    <t xml:space="preserve">LIVRO DE VENDAS — 08/06 a 31/08 · Orgânico vs Ads</t>
  </si>
  <si>
    <t xml:space="preserve">Fonte: painel de vendas (total do site, por dia de PEDIDO) × relatório de produtos anunciados (vendas ATRIBUÍDAS ao Ads, por clique). Atribuição tem zona cinzenta: pedido com clique em anúncio até 14 dias antes conta como Ads. Datas de clique e pedido podem divergir.</t>
  </si>
  <si>
    <t xml:space="preserve">Valor (R$)</t>
  </si>
  <si>
    <t xml:space="preserve">Unid.</t>
  </si>
  <si>
    <t xml:space="preserve">SKU(s)</t>
  </si>
  <si>
    <t xml:space="preserve">Campanha / termo (quando conhecido)</t>
  </si>
  <si>
    <t xml:space="preserve">13/06</t>
  </si>
  <si>
    <t xml:space="preserve">18/06</t>
  </si>
  <si>
    <t xml:space="preserve">auto — "coletor de pilhas"</t>
  </si>
  <si>
    <t xml:space="preserve">20/06</t>
  </si>
  <si>
    <t xml:space="preserve">21/06</t>
  </si>
  <si>
    <t xml:space="preserve">PI — ASIN B0G9B9RCMF</t>
  </si>
  <si>
    <t xml:space="preserve">23/06</t>
  </si>
  <si>
    <t xml:space="preserve">L2025 (rel.) / L2450-AML (registro)</t>
  </si>
  <si>
    <t xml:space="preserve">auto — "lixeira banheiro 30l sem tampa inox" · conferir SKU</t>
  </si>
  <si>
    <t xml:space="preserve">24/06</t>
  </si>
  <si>
    <t xml:space="preserve">auto — "suporte para guarda chuva"</t>
  </si>
  <si>
    <t xml:space="preserve">26/06</t>
  </si>
  <si>
    <t xml:space="preserve">PXP ×2</t>
  </si>
  <si>
    <t xml:space="preserve">órfã identificada: 2 unidades do PXP</t>
  </si>
  <si>
    <t xml:space="preserve">29/06</t>
  </si>
  <si>
    <t xml:space="preserve">SP-01 + P3050</t>
  </si>
  <si>
    <t xml:space="preserve">PIs — B0C5JTQBXF / B0CYWMQ93Y</t>
  </si>
  <si>
    <t xml:space="preserve">01/07</t>
  </si>
  <si>
    <t xml:space="preserve">02/07</t>
  </si>
  <si>
    <t xml:space="preserve">PXP + PXM</t>
  </si>
  <si>
    <t xml:space="preserve">auto PXP + PXM</t>
  </si>
  <si>
    <t xml:space="preserve">03/07</t>
  </si>
  <si>
    <t xml:space="preserve">cinzeiro vendendo sozinho!</t>
  </si>
  <si>
    <t xml:space="preserve">04/07</t>
  </si>
  <si>
    <t xml:space="preserve">provável (sem atribuição p/ esta data)</t>
  </si>
  <si>
    <t xml:space="preserve">08/07</t>
  </si>
  <si>
    <t xml:space="preserve">PXM ×3</t>
  </si>
  <si>
    <t xml:space="preserve">auto — "suporte para extintor de 6 kg"</t>
  </si>
  <si>
    <t xml:space="preserve">09/07</t>
  </si>
  <si>
    <t xml:space="preserve">L1618-T + P3050</t>
  </si>
  <si>
    <t xml:space="preserve">"lixeira pia" (48% ACOS) + 2ª venda P3050</t>
  </si>
  <si>
    <t xml:space="preserve">20/07</t>
  </si>
  <si>
    <t xml:space="preserve">PI PXM</t>
  </si>
  <si>
    <t xml:space="preserve">21/07</t>
  </si>
  <si>
    <t xml:space="preserve">auto</t>
  </si>
  <si>
    <t xml:space="preserve">22/07</t>
  </si>
  <si>
    <t xml:space="preserve">L2025-B + L1623-B + 2× L2030 (Franca)</t>
  </si>
  <si>
    <t xml:space="preserve">PI L2030-B — ASIN B0DZV82N4P</t>
  </si>
  <si>
    <t xml:space="preserve">25/07</t>
  </si>
  <si>
    <t xml:space="preserve">L2030-B (DF)</t>
  </si>
  <si>
    <t xml:space="preserve">margem 43,7% registrada</t>
  </si>
  <si>
    <t xml:space="preserve">30/07</t>
  </si>
  <si>
    <t xml:space="preserve">EGC (RS)</t>
  </si>
  <si>
    <t xml:space="preserve">2ª venda orgânica do EGC</t>
  </si>
  <si>
    <t xml:space="preserve">31/07</t>
  </si>
  <si>
    <t xml:space="preserve">L2425-B ×2</t>
  </si>
  <si>
    <t xml:space="preserve">atribuída pelo relatório (você supunha orgânica) — conferir</t>
  </si>
  <si>
    <t xml:space="preserve">02/08</t>
  </si>
  <si>
    <t xml:space="preserve">Geral DBA — mineradora</t>
  </si>
  <si>
    <t xml:space="preserve">04/08</t>
  </si>
  <si>
    <t xml:space="preserve">PXP ×3</t>
  </si>
  <si>
    <t xml:space="preserve">1º resgate da promoção 5%</t>
  </si>
  <si>
    <t xml:space="preserve">05/08</t>
  </si>
  <si>
    <t xml:space="preserve">2ª venda de 116 — sem atribuição no relatório</t>
  </si>
  <si>
    <t xml:space="preserve">06/08</t>
  </si>
  <si>
    <t xml:space="preserve">L2025-T (2 pedidos)</t>
  </si>
  <si>
    <t xml:space="preserve">venda de hoje</t>
  </si>
  <si>
    <t xml:space="preserve">07/08</t>
  </si>
  <si>
    <t xml:space="preserve">Q4070-A ×4</t>
  </si>
  <si>
    <t xml:space="preserve">maior venda do mês — resgate promo 5% (receita real R$ 4.002,05 no Registro)</t>
  </si>
  <si>
    <t xml:space="preserve">08/08</t>
  </si>
  <si>
    <t xml:space="preserve">P3060 ×2</t>
  </si>
  <si>
    <t xml:space="preserve">3ª venda de 116</t>
  </si>
  <si>
    <t xml:space="preserve">11/08</t>
  </si>
  <si>
    <t xml:space="preserve">L2460-AML ×3</t>
  </si>
  <si>
    <t xml:space="preserve">resgate promo 5% (receita real R$ 826,98)</t>
  </si>
  <si>
    <t xml:space="preserve">1ª venda do P4080</t>
  </si>
  <si>
    <t xml:space="preserve">12/08</t>
  </si>
  <si>
    <t xml:space="preserve">PXM ×2</t>
  </si>
  <si>
    <t xml:space="preserve">sem atribuição nos 2 relatórios (Extintor atribui só a de 26/08)</t>
  </si>
  <si>
    <t xml:space="preserve">14/08</t>
  </si>
  <si>
    <t xml:space="preserve">16/08</t>
  </si>
  <si>
    <t xml:space="preserve">19/08</t>
  </si>
  <si>
    <t xml:space="preserve">20/08</t>
  </si>
  <si>
    <t xml:space="preserve">Q3060-A ×3</t>
  </si>
  <si>
    <t xml:space="preserve">Geral DBA — halo via Q2430-A (B0H7XXH5GV) CONFIRMADO; receita real R$ 1.654,48</t>
  </si>
  <si>
    <t xml:space="preserve">26/08</t>
  </si>
  <si>
    <t xml:space="preserve">Manual Extintor — exata</t>
  </si>
  <si>
    <t xml:space="preserve">29/08</t>
  </si>
  <si>
    <t xml:space="preserve">30/08</t>
  </si>
  <si>
    <t xml:space="preserve">31/08</t>
  </si>
  <si>
    <t xml:space="preserve">L2025-T ×2</t>
  </si>
  <si>
    <t xml:space="preserve">6B (piloto dinâmico) — 1ª venda da manual 6B</t>
  </si>
  <si>
    <t xml:space="preserve">L2450-AML ×3</t>
  </si>
  <si>
    <t xml:space="preserve">resgate promo 5%; preço atual 259,90</t>
  </si>
  <si>
    <t xml:space="preserve">RESUMO MENSAL</t>
  </si>
  <si>
    <t xml:space="preserve">Mês</t>
  </si>
  <si>
    <t xml:space="preserve">Total (R$)</t>
  </si>
  <si>
    <t xml:space="preserve">Ads (R$)</t>
  </si>
  <si>
    <t xml:space="preserve">Orgânico (R$)</t>
  </si>
  <si>
    <t xml:space="preserve">% Orgânico</t>
  </si>
  <si>
    <t xml:space="preserve">Junho (08-30)</t>
  </si>
  <si>
    <t xml:space="preserve">Julho</t>
  </si>
  <si>
    <t xml:space="preserve">Agosto</t>
  </si>
  <si>
    <t xml:space="preserve">TOTAL</t>
  </si>
  <si>
    <t xml:space="preserve">Nota de reconciliação (até 06/08): mapeamento pedido a pedido soma R$ 6.623,52 em Ads vs R$ 6.455,63 do relatório (diferença de ~R$ 168 = zona cinzenta do par PXP+PXM de 02/07). Fechamento Agosto (08/09/26): valores a preço de tabela (convenção do painel); 3 pedidos com promo 5% somam −R$ 341,24 vs receita real (Registro_Vendas preserva a real). Atribuição cruzada com Produtos Anunciados 25/07–23/08 + 08/08–06/09; sanidade fechada com Campaign export (Geral 9 compras = R$ 3.561,62, bijeção exata). Halo Q2430-A→Q3060-A confirmado. Atribuição valoriza a preço de tabela (MEMORIA 31/08).</t>
  </si>
  <si>
    <t xml:space="preserve">CALCULADORA DE PRODUTO NOVO — classe de frete + preço mínimo para a margem alvo</t>
  </si>
  <si>
    <t xml:space="preserve">Preencha as colunas AZUIS. A planilha calcula: peso cubado, classe de frete, fretes da região escolhida e o PREÇO SUGERIDO para bater a margem. Depois teste um preço à sua escolha na coluna P.</t>
  </si>
  <si>
    <t xml:space="preserve">Tarifa Amazon estimada (%):</t>
  </si>
  <si>
    <t xml:space="preserve">← média real do catálogo (11,7-14,8%)</t>
  </si>
  <si>
    <t xml:space="preserve">Fronteiras de classe validadas por cotação (17/07): Pequenos ≤ 5,5 kg cubado · Médios ≤ 18 kg · Grandes &gt; 18 kg (ex.: caixa 25×25×50 = 5,21 → Pequeno; 42×42×60 = 17,64 → Médio).</t>
  </si>
  <si>
    <t xml:space="preserve">Nome / SKU</t>
  </si>
  <si>
    <t xml:space="preserve">Compr. caixa (cm)</t>
  </si>
  <si>
    <t xml:space="preserve">Larg. (cm)</t>
  </si>
  <si>
    <t xml:space="preserve">Alt. (cm)</t>
  </si>
  <si>
    <t xml:space="preserve">Peso real (kg)</t>
  </si>
  <si>
    <t xml:space="preserve">Peso cubado (kg)</t>
  </si>
  <si>
    <t xml:space="preserve">Peso considerado (kg)</t>
  </si>
  <si>
    <t xml:space="preserve">Classe de frete</t>
  </si>
  <si>
    <t xml:space="preserve">Região de referência</t>
  </si>
  <si>
    <t xml:space="preserve">Margem alvo (%)</t>
  </si>
  <si>
    <t xml:space="preserve">PREÇO SUGERIDO (R$)</t>
  </si>
  <si>
    <t xml:space="preserve">Preço escolhido (R$)</t>
  </si>
  <si>
    <t xml:space="preserve">Margem no preço escolhido</t>
  </si>
  <si>
    <t xml:space="preserve">Lixeira nova 25x40 (exemplo)</t>
  </si>
  <si>
    <t xml:space="preserve">Custo real Pequenos</t>
  </si>
  <si>
    <t xml:space="preserve">Cobrança Pequenos</t>
  </si>
  <si>
    <t xml:space="preserve">Custo real Medios</t>
  </si>
  <si>
    <t xml:space="preserve">Cobrança Medios</t>
  </si>
  <si>
    <t xml:space="preserve">Custo real Grandes</t>
  </si>
  <si>
    <t xml:space="preserve">Cobrança Grandes</t>
  </si>
  <si>
    <t xml:space="preserve">Goiás Interior</t>
  </si>
  <si>
    <t xml:space="preserve">Mato Grosso do Sul Interior</t>
  </si>
  <si>
    <t xml:space="preserve">Mato Grosso Capital</t>
  </si>
  <si>
    <t xml:space="preserve">Mato Grosso Interior</t>
  </si>
  <si>
    <t xml:space="preserve">Acre Capital</t>
  </si>
  <si>
    <t xml:space="preserve">Acre Interior</t>
  </si>
  <si>
    <t xml:space="preserve">Amazonas Capital</t>
  </si>
  <si>
    <t xml:space="preserve">Amazonas Interior</t>
  </si>
  <si>
    <t xml:space="preserve">Amapá Capital</t>
  </si>
  <si>
    <t xml:space="preserve">Amapá Interior</t>
  </si>
  <si>
    <t xml:space="preserve">Pará Capital</t>
  </si>
  <si>
    <t xml:space="preserve">Pará Interior</t>
  </si>
  <si>
    <t xml:space="preserve">Rondônia Capital</t>
  </si>
  <si>
    <t xml:space="preserve">Rondônia Interior</t>
  </si>
  <si>
    <t xml:space="preserve">Roraima Capital</t>
  </si>
  <si>
    <t xml:space="preserve">Roraima Interior</t>
  </si>
  <si>
    <t xml:space="preserve">Tocantins Capital</t>
  </si>
  <si>
    <t xml:space="preserve">Tocantins Interior</t>
  </si>
  <si>
    <t xml:space="preserve">Alagoas Capital</t>
  </si>
  <si>
    <t xml:space="preserve">Bahia Interior</t>
  </si>
  <si>
    <t xml:space="preserve">Ceará Interior</t>
  </si>
  <si>
    <t xml:space="preserve">Maranhão Capital</t>
  </si>
  <si>
    <t xml:space="preserve">Maranhão Interior</t>
  </si>
  <si>
    <t xml:space="preserve">Paraíba Interior</t>
  </si>
  <si>
    <t xml:space="preserve">Pernambuco Interior</t>
  </si>
  <si>
    <t xml:space="preserve">Piauí Capital</t>
  </si>
  <si>
    <t xml:space="preserve">Piauí Interior</t>
  </si>
  <si>
    <t xml:space="preserve">Rio Grande do Norte Interior</t>
  </si>
  <si>
    <t xml:space="preserve">Sergipe Capital</t>
  </si>
  <si>
    <t xml:space="preserve">Sergipe Interior</t>
  </si>
  <si>
    <t xml:space="preserve">Paraná Interior</t>
  </si>
  <si>
    <t xml:space="preserve">Rio Grande do Sul Interior</t>
  </si>
  <si>
    <t xml:space="preserve">Santa Catarina Capital</t>
  </si>
  <si>
    <t xml:space="preserve">Santa Catarina Interior</t>
  </si>
  <si>
    <t xml:space="preserve">Espírito Santo Capital</t>
  </si>
  <si>
    <t xml:space="preserve">Espírito Santo Interior</t>
  </si>
  <si>
    <t xml:space="preserve">CLASSIFICAÇÃO DE FRETE — CATÁLOGO COMPLETO WINNET</t>
  </si>
  <si>
    <t xml:space="preserve">Peso cubado = (C×L×A em cm) ÷ 6.000. Peso considerado = maior entre real e cubado. Classes (fronteiras validadas por cotação em 17/07): Pequenos ≤ 5,5 kg · Médios ≤ 18 kg · Grandes &gt; 18 kg. Exceções operacionais documentadas na coluna Observação.</t>
  </si>
  <si>
    <t xml:space="preserve">Produto</t>
  </si>
  <si>
    <t xml:space="preserve">Caixa (cm)</t>
  </si>
  <si>
    <t xml:space="preserve">Modelo de envio</t>
  </si>
  <si>
    <t xml:space="preserve">Lixeira de Aço inox 24x40 20 litros c/Aro</t>
  </si>
  <si>
    <t xml:space="preserve">25×25×50</t>
  </si>
  <si>
    <t xml:space="preserve">WN - Pequenos</t>
  </si>
  <si>
    <t xml:space="preserve">Reclassificada Médio→Pequeno em 17/07 (cotações Campinas R$27-31 · Salvador R$55-62 · Cuiabá R$40-55)</t>
  </si>
  <si>
    <t xml:space="preserve">LIXEIRA EM AÇO INOX 24X40 20 LITROS C/ARO MEIA LUA</t>
  </si>
  <si>
    <t xml:space="preserve">Lixeira de Aço inox 24x40 20 litros c/Aro basculante</t>
  </si>
  <si>
    <t xml:space="preserve">Lixeira de Aço inox 24x50 25 litros c/Aro</t>
  </si>
  <si>
    <t xml:space="preserve">LIXEIRA EM AÇO INOX 24X50 25 LITROS C/ARO MEIA LUA</t>
  </si>
  <si>
    <t xml:space="preserve">Lixeira de Aço inox 24x50 25 litros c/Aro basculante</t>
  </si>
  <si>
    <t xml:space="preserve">LIXEIRA CINZEIRO EM AÇO INOX 24X50 25 LITROS</t>
  </si>
  <si>
    <t xml:space="preserve">Lixeira com Tampa Pedal de Aço inox 24x40 20 litros</t>
  </si>
  <si>
    <t xml:space="preserve">Porta guarda chuvas 24x50</t>
  </si>
  <si>
    <t xml:space="preserve">Lixeira de embutir de Pia em Aço inox 8 litros c/Balde de Alumínio</t>
  </si>
  <si>
    <t xml:space="preserve">32×32×27</t>
  </si>
  <si>
    <t xml:space="preserve">PORTA EXTINTOR 200X495</t>
  </si>
  <si>
    <t xml:space="preserve">20,5×20,5×50 (assumido)</t>
  </si>
  <si>
    <t xml:space="preserve">Dimensão '205X205X50' parece erro de digitação (alt. 50 mm?). Assumi 205X205X500 → confirmar</t>
  </si>
  <si>
    <t xml:space="preserve">Lixeira de Aço inox sem Tampa 20x30 10 litros</t>
  </si>
  <si>
    <t xml:space="preserve">25×25×30</t>
  </si>
  <si>
    <t xml:space="preserve">Lixeira de Aço inox 20x30 10 litros c/Aro</t>
  </si>
  <si>
    <t xml:space="preserve">Lixeira de Aço inox 20x30 10 litros c/Aro basculante</t>
  </si>
  <si>
    <t xml:space="preserve">Lixeira de Aço inox 20x30 10 litros com tampa</t>
  </si>
  <si>
    <t xml:space="preserve">Lixeira de Aço inox 24x25 13 litros c/Aro</t>
  </si>
  <si>
    <t xml:space="preserve">LIXEIRA EM AÇO INOX 24X25 13 LITROS C/ARO MEIA LUA</t>
  </si>
  <si>
    <t xml:space="preserve">Lixeira de Aço inox 24x25 13 litros c/Aro basculante</t>
  </si>
  <si>
    <t xml:space="preserve">Lixeira de Aço inox 24x30 15 litros c/Aro</t>
  </si>
  <si>
    <t xml:space="preserve">LIXEIRA EM AÇO INOX 24X30 15 LITROS C/ARO MEIA LUA</t>
  </si>
  <si>
    <t xml:space="preserve">Lixeira de Aço inox 24x30 15 litros c/Aro basculante</t>
  </si>
  <si>
    <t xml:space="preserve">Lixeira com Tampa Pedal de Aço inox 20x30 10 litros</t>
  </si>
  <si>
    <t xml:space="preserve">Lixeira com Tampa Pedal de Aço inox 24x25 12 litros</t>
  </si>
  <si>
    <t xml:space="preserve">Lixeira com Tampa Pedal de Aço inox 24x30 15 litros</t>
  </si>
  <si>
    <t xml:space="preserve">Lixeira de Aço inox Quadrada 24X30 Com Aro 15 litros</t>
  </si>
  <si>
    <t xml:space="preserve">Lixeira de Aço inox Quadrada 24X30 Com Aro BASCULANTE 15 litros</t>
  </si>
  <si>
    <t xml:space="preserve">Lixeira de embutir de Pia em Aço inox 5 litros c/Balde de Alumínio</t>
  </si>
  <si>
    <t xml:space="preserve">27×27×24</t>
  </si>
  <si>
    <t xml:space="preserve">PORTA EXTINTOR 160X310</t>
  </si>
  <si>
    <t xml:space="preserve">16×16×32</t>
  </si>
  <si>
    <t xml:space="preserve">Lixeira de embutir de Pia em Aço inox 3 litros c/Balde de Alumínio</t>
  </si>
  <si>
    <t xml:space="preserve">21×21×27</t>
  </si>
  <si>
    <t xml:space="preserve">Lixeira de Aço inox sem Tampa 16x18 03 litros</t>
  </si>
  <si>
    <t xml:space="preserve">Lixeira de Aço inox 16x18 03 litros c/Aro</t>
  </si>
  <si>
    <t xml:space="preserve">Lixeira de Aço inox 16x18 03 litros c/Aro basculante</t>
  </si>
  <si>
    <t xml:space="preserve">Lixeira de Aço inox 16x18 03 litros com tampa</t>
  </si>
  <si>
    <t xml:space="preserve">Lixeira de Aço inox sem Tampa 16x23 05 litros</t>
  </si>
  <si>
    <t xml:space="preserve">Lixeira de Aço inox 16x23 05 litros c/Aro</t>
  </si>
  <si>
    <t xml:space="preserve">Lixeira de Aço inox 16x23 05 litros c/Aro basculante</t>
  </si>
  <si>
    <t xml:space="preserve">Lixeira de Aço inox 16x23 05 litros com tampa</t>
  </si>
  <si>
    <t xml:space="preserve">Lixeira de Aço inox sem Tampa 20x25 07 litros</t>
  </si>
  <si>
    <t xml:space="preserve">Lixeira de Aço inox 20x25 07 litros c/Aro</t>
  </si>
  <si>
    <t xml:space="preserve">Lixeira de Aço inox 20x25 07 litros c/Aro basculante</t>
  </si>
  <si>
    <t xml:space="preserve">Lixeira de Aço inox 20x25 07 litros com tampa</t>
  </si>
  <si>
    <t xml:space="preserve">Lixeira com Tampa Pedal de Aço inox 16x23 05 litros</t>
  </si>
  <si>
    <t xml:space="preserve">Lixeira com Tampa Pedal de Aço inox 20x25 07 litros</t>
  </si>
  <si>
    <t xml:space="preserve">Coletor de cigarros SPACE PAREDE ø 0,76 X 50 Alt. AÇO INOX</t>
  </si>
  <si>
    <t xml:space="preserve">10×10×52</t>
  </si>
  <si>
    <t xml:space="preserve">Dimensões interpretadas em cm (padrão diferente do resto da planilha) — confirmar</t>
  </si>
  <si>
    <t xml:space="preserve">Lixeira de Aço inox 40x50 62 litros c/Aro</t>
  </si>
  <si>
    <t xml:space="preserve">42×42×60</t>
  </si>
  <si>
    <t xml:space="preserve">WN - Medios</t>
  </si>
  <si>
    <t xml:space="preserve">Reclassificada Grande→Médio em 17/07 (cotações Campinas R$64-68 · Salvador R$135-142 · Cuiabá R$111-142)</t>
  </si>
  <si>
    <t xml:space="preserve">Lixeira de Aço inox 40x50 62 litros c/Aro basculante</t>
  </si>
  <si>
    <t xml:space="preserve">Lixeira de Aço inox 40x60 75 litros c/Aro</t>
  </si>
  <si>
    <t xml:space="preserve">Lixeira de Aço inox 40x60 75 litros c/Aro basculante</t>
  </si>
  <si>
    <t xml:space="preserve">Lixeira com Tampa Pedal de Aço inox 40x50 65 litros</t>
  </si>
  <si>
    <t xml:space="preserve">Lixeira com Tampa Pedal de Aço inox 40x50 65 litros C/ALÇAS</t>
  </si>
  <si>
    <t xml:space="preserve">Lixeira com Tampa Pedal de Aço inox 40x60 75 litros</t>
  </si>
  <si>
    <t xml:space="preserve">Lixeira com Tampa Pedal de Aço inox 40x60 75 litros C/ALÇAS</t>
  </si>
  <si>
    <t xml:space="preserve">Porta guarda chuvas 40x50</t>
  </si>
  <si>
    <t xml:space="preserve">Coletor de cigarros SPACE TORRE 28 X 92 Alt. AÇO INOX</t>
  </si>
  <si>
    <t xml:space="preserve">33×33×93</t>
  </si>
  <si>
    <t xml:space="preserve">Médio CONFIRMADO por cotação em 13/08 (33×33×93, 5kg): Campinas R$ 65,45 · Salvador R$ 103,94 · Cuiabá R$ 126,93 — todos na faixa das caixas Médias validadas. Encerra a pendência da extrapolação de 17/07.</t>
  </si>
  <si>
    <t xml:space="preserve">Lixeira de Aço inox 30x85 60 litros c/Aro basculante</t>
  </si>
  <si>
    <t xml:space="preserve">31×31×78</t>
  </si>
  <si>
    <t xml:space="preserve">Coletor de cigarros SPACE 27 X 92 Alt. AÇO INOX</t>
  </si>
  <si>
    <t xml:space="preserve">28×28×92</t>
  </si>
  <si>
    <t xml:space="preserve">Coletor de cigarros SPACE FIXO 21 X 92 Alt. AÇO INOX</t>
  </si>
  <si>
    <t xml:space="preserve">Lixeira de Aço inox 30x70 50 litros c/Aro</t>
  </si>
  <si>
    <t xml:space="preserve">31×31×70</t>
  </si>
  <si>
    <t xml:space="preserve">LIXEIRA EM AÇO INOX 30X70 50 LITROS C/ARO MEIA LUA</t>
  </si>
  <si>
    <t xml:space="preserve">Lixeira de Aço inox 30x70 50 litros c/Aro basculante</t>
  </si>
  <si>
    <t xml:space="preserve">Lixeira com Tampa Pedal de Aço inox 30x70 60 litros</t>
  </si>
  <si>
    <t xml:space="preserve">Lixeira com Tampa Pedal de Aço inox 30x70 60 litros C/ALÇAS</t>
  </si>
  <si>
    <t xml:space="preserve">Porta guarda chuvas 30x70</t>
  </si>
  <si>
    <t xml:space="preserve">Ensacador de Guarda-chuvas Aço inox c/150 saquinhos 26 x 17 x 77</t>
  </si>
  <si>
    <t xml:space="preserve">28×28×78</t>
  </si>
  <si>
    <t xml:space="preserve">Lixeira de Aço inox 30x50 35 litros c/Aro</t>
  </si>
  <si>
    <t xml:space="preserve">31×31×60</t>
  </si>
  <si>
    <t xml:space="preserve">Lixeira de Aço inox 30x50 35 litros c/Aro basculante</t>
  </si>
  <si>
    <t xml:space="preserve">Lixeira de Aço inox 30x60 40 litros c/Aro</t>
  </si>
  <si>
    <t xml:space="preserve">LIXEIRA EM AÇO INOX 30X60 40 LITROS C/ARO MEIA LUA</t>
  </si>
  <si>
    <t xml:space="preserve">Lixeira de Aço inox 30x60 40 litros c/Aro basculante</t>
  </si>
  <si>
    <t xml:space="preserve">Lixeira com Tampa Pedal de Aço inox 30x50 40 litros</t>
  </si>
  <si>
    <t xml:space="preserve">Lixeira com Tampa Pedal de Aço inox 30x50 40 litros C/ALÇAS</t>
  </si>
  <si>
    <t xml:space="preserve">Lixeira com Tampa Pedal de Aço inox 30x60 50 litros</t>
  </si>
  <si>
    <t xml:space="preserve">Lixeira com Tampa Pedal de Aço inox 30x60 50 litros C/ALÇAS</t>
  </si>
  <si>
    <t xml:space="preserve">Porta guarda chuvas 30x60</t>
  </si>
  <si>
    <t xml:space="preserve">Lixeira quadrada com Tampa Pedal de Aço inox 30x60 50 litros</t>
  </si>
  <si>
    <t xml:space="preserve">Lixeira de Aço inox Quadrada 30X60 Com Aro 50 litros</t>
  </si>
  <si>
    <t xml:space="preserve">Lixeira de Aço inox Quadrada 30X60 Com Aro BASCULANTE 50 litros</t>
  </si>
  <si>
    <t xml:space="preserve">Lixeira de Aço inox 24x60 27 litros c/Aro</t>
  </si>
  <si>
    <t xml:space="preserve">25×25×70</t>
  </si>
  <si>
    <t xml:space="preserve">LIXEIRA EM AÇO INOX 24X60 27 LITROS C/ARO MEIA LUA</t>
  </si>
  <si>
    <t xml:space="preserve">Lixeira de Aço inox 24x60 27 litros c/Aro basculante</t>
  </si>
  <si>
    <t xml:space="preserve">Lixeira Aço inox Coletor de pilhas e baterias 24x60 27 litros</t>
  </si>
  <si>
    <t xml:space="preserve">LIXEIRA CINZEIRO EM AÇO INOX 24X60 27 LITROS</t>
  </si>
  <si>
    <t xml:space="preserve">Lixeira de Aço inox 24x70 30 litros c/Aro</t>
  </si>
  <si>
    <t xml:space="preserve">LIXEIRA EM AÇO INOX 24X70 30 LITROS C/ARO MEIA LUA</t>
  </si>
  <si>
    <t xml:space="preserve">Lixeira de Aço inox 24x70 30 litros c/Aro basculante</t>
  </si>
  <si>
    <t xml:space="preserve">LIXEIRA CINZEIRO EM AÇO INOX 24X70 30 LITROS</t>
  </si>
  <si>
    <t xml:space="preserve">Porta guarda chuvas 24x60</t>
  </si>
  <si>
    <t xml:space="preserve">Porta guarda chuvas 24x70</t>
  </si>
  <si>
    <t xml:space="preserve">Lixeira de Aço inox Quadrada 24X60 Com Aro 30 litros</t>
  </si>
  <si>
    <t xml:space="preserve">Lixeira de Aço inox Quadrada 24X60 Com Aro BASCULANTE 30 litros</t>
  </si>
  <si>
    <t xml:space="preserve">Lixeira de Aço inox 30x40 30 litros c/Aro</t>
  </si>
  <si>
    <t xml:space="preserve">31×31×40</t>
  </si>
  <si>
    <t xml:space="preserve">Lixeira de Aço inox 30x40 30 litros c/Aro basculante</t>
  </si>
  <si>
    <t xml:space="preserve">Lixeira com Tampa Pedal de Aço inox 30x40 30 litros</t>
  </si>
  <si>
    <t xml:space="preserve">Lixeira de Aço inox 40x90 120 litros c/Aro</t>
  </si>
  <si>
    <t xml:space="preserve">42×42×90</t>
  </si>
  <si>
    <t xml:space="preserve">WN - Grandes</t>
  </si>
  <si>
    <t xml:space="preserve">Lixeira de Aço inox 40x90 120 litros c/Aro basculante</t>
  </si>
  <si>
    <t xml:space="preserve">Lixeira com Tampa Pedal de Aço inox 40x90 120 litros</t>
  </si>
  <si>
    <t xml:space="preserve">Lixeira com Tampa Pedal de Aço inox 40x90 120 litros C/ALÇAS</t>
  </si>
  <si>
    <t xml:space="preserve">Lixeira de Aço inox 40x70 88 litros c/Aro basculante</t>
  </si>
  <si>
    <t xml:space="preserve">42×42×80</t>
  </si>
  <si>
    <t xml:space="preserve">Lixeira de Aço inox 40x75 95 litros c/Aro basculante</t>
  </si>
  <si>
    <t xml:space="preserve">Lixeira de Aço inox 40x80 100 litros c/Aro</t>
  </si>
  <si>
    <t xml:space="preserve">Lixeira de Aço inox 40x80 100 litros c/Aro basculante</t>
  </si>
  <si>
    <t xml:space="preserve">Lixeira com Tampa Pedal de Aço inox 40x70 80 litros</t>
  </si>
  <si>
    <t xml:space="preserve">Lixeira com Tampa Pedal de Aço inox 40x70 80 litros C/ALÇAS</t>
  </si>
  <si>
    <t xml:space="preserve">Lixeira com Tampa Pedal de Aço inox 40x70 80 litros c/rodizios e alças</t>
  </si>
  <si>
    <t xml:space="preserve">Lixeira com Tampa Pedal de Aço inox 40x75 95 litros</t>
  </si>
  <si>
    <t xml:space="preserve">Lixeira com Tampa Pedal de Aço inox 40x75 95 litros C/ALÇAS</t>
  </si>
  <si>
    <t xml:space="preserve">Lixeira com Tampa Pedal de Aço inox 40x80 100 litros</t>
  </si>
  <si>
    <t xml:space="preserve">Lixeira com Tampa Pedal de Aço inox 40x80 100 litros C/ALÇAS</t>
  </si>
  <si>
    <t xml:space="preserve">Porta guarda chuvas 40x80</t>
  </si>
  <si>
    <t xml:space="preserve">Lixeira de Aço inox Quadrada 40x70 Com Aro 100 litros</t>
  </si>
  <si>
    <t xml:space="preserve">Lixeira de Aço inox Quadrada 40x70 Com Aro BASCULANTE 100 litros</t>
  </si>
  <si>
    <t xml:space="preserve">RESUMO: 46 Pequenos · 49 Médios · 18 Grandes · Total 113 SKUs</t>
  </si>
  <si>
    <t xml:space="preserve">SKUs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</si>
</sst>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&quot;R$ &quot;#,##0.00"/>
    <numFmt numFmtId="167" formatCode="m/d/yyyy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i val="true"/>
      <sz val="9"/>
      <color rgb="FF59595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i val="true"/>
      <sz val="10"/>
      <color rgb="FF0000FF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699"/>
        <bgColor rgb="FFFFFFCC"/>
      </patternFill>
    </fill>
    <fill>
      <patternFill patternType="solid">
        <fgColor rgb="FFFFC7CE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0"/>
  </cols>
  <sheetData>
    <row r="1" customFormat="false" ht="16.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25.5" hidden="false" customHeight="true" outlineLevel="0" collapsed="false">
      <c r="A5" s="3" t="s">
        <v>5</v>
      </c>
      <c r="B5" s="4" t="s">
        <v>6</v>
      </c>
    </row>
    <row r="6" customFormat="false" ht="25.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25.5" hidden="false" customHeight="true" outlineLevel="0" collapsed="false">
      <c r="A9" s="3" t="s">
        <v>13</v>
      </c>
      <c r="B9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20"/>
    <col collapsed="false" customWidth="true" hidden="false" outlineLevel="0" max="3" min="3" style="1" width="16"/>
  </cols>
  <sheetData>
    <row r="1" customFormat="false" ht="15.75" hidden="false" customHeight="true" outlineLevel="0" collapsed="false">
      <c r="A1" s="2" t="s">
        <v>15</v>
      </c>
    </row>
    <row r="2" customFormat="false" ht="15" hidden="false" customHeight="true" outlineLevel="0" collapsed="false">
      <c r="A2" s="5" t="s">
        <v>16</v>
      </c>
    </row>
    <row r="4" customFormat="false" ht="15" hidden="false" customHeight="true" outlineLevel="0" collapsed="false">
      <c r="A4" s="3" t="s">
        <v>17</v>
      </c>
    </row>
    <row r="5" customFormat="false" ht="15" hidden="false" customHeight="true" outlineLevel="0" collapsed="false">
      <c r="A5" s="6" t="s">
        <v>18</v>
      </c>
      <c r="B5" s="6" t="s">
        <v>19</v>
      </c>
      <c r="C5" s="6" t="s">
        <v>20</v>
      </c>
    </row>
    <row r="6" customFormat="false" ht="15" hidden="false" customHeight="true" outlineLevel="0" collapsed="false">
      <c r="A6" s="7" t="s">
        <v>21</v>
      </c>
      <c r="B6" s="8" t="n">
        <v>77</v>
      </c>
      <c r="C6" s="8" t="n">
        <v>36</v>
      </c>
    </row>
    <row r="7" customFormat="false" ht="15" hidden="false" customHeight="true" outlineLevel="0" collapsed="false">
      <c r="A7" s="7" t="s">
        <v>22</v>
      </c>
      <c r="B7" s="8" t="n">
        <v>36</v>
      </c>
      <c r="C7" s="8" t="n">
        <v>47</v>
      </c>
    </row>
    <row r="8" customFormat="false" ht="15" hidden="false" customHeight="true" outlineLevel="0" collapsed="false">
      <c r="A8" s="9" t="s">
        <v>23</v>
      </c>
      <c r="B8" s="8" t="n">
        <v>0</v>
      </c>
      <c r="C8" s="8" t="n">
        <v>29</v>
      </c>
    </row>
    <row r="9" customFormat="false" ht="15" hidden="false" customHeight="true" outlineLevel="0" collapsed="false">
      <c r="A9" s="10" t="s">
        <v>24</v>
      </c>
      <c r="B9" s="8" t="n">
        <v>0</v>
      </c>
      <c r="C9" s="8" t="n">
        <v>1</v>
      </c>
    </row>
    <row r="10" customFormat="false" ht="15" hidden="false" customHeight="true" outlineLevel="0" collapsed="false">
      <c r="A10" s="10" t="s">
        <v>25</v>
      </c>
      <c r="B10" s="8" t="n">
        <v>0</v>
      </c>
      <c r="C10" s="8" t="n">
        <v>0</v>
      </c>
    </row>
    <row r="12" customFormat="false" ht="15" hidden="false" customHeight="true" outlineLevel="0" collapsed="false">
      <c r="A12" s="3" t="s">
        <v>26</v>
      </c>
    </row>
    <row r="13" customFormat="false" ht="15" hidden="false" customHeight="true" outlineLevel="0" collapsed="false">
      <c r="A13" s="6" t="s">
        <v>27</v>
      </c>
      <c r="B13" s="6" t="s">
        <v>28</v>
      </c>
      <c r="C13" s="6" t="s">
        <v>29</v>
      </c>
    </row>
    <row r="14" customFormat="false" ht="15" hidden="false" customHeight="true" outlineLevel="0" collapsed="false">
      <c r="A14" s="11" t="s">
        <v>30</v>
      </c>
      <c r="B14" s="12" t="n">
        <v>0.169701919150674</v>
      </c>
      <c r="C14" s="13" t="n">
        <v>41.56</v>
      </c>
    </row>
    <row r="15" customFormat="false" ht="15" hidden="false" customHeight="true" outlineLevel="0" collapsed="false">
      <c r="A15" s="11" t="s">
        <v>31</v>
      </c>
      <c r="B15" s="12" t="n">
        <v>0.177269478198713</v>
      </c>
      <c r="C15" s="13" t="n">
        <v>24.8</v>
      </c>
    </row>
    <row r="16" customFormat="false" ht="15" hidden="false" customHeight="true" outlineLevel="0" collapsed="false">
      <c r="A16" s="11" t="s">
        <v>32</v>
      </c>
      <c r="B16" s="12" t="n">
        <v>0.179189485213582</v>
      </c>
      <c r="C16" s="13" t="n">
        <v>49.08</v>
      </c>
    </row>
    <row r="17" customFormat="false" ht="15" hidden="false" customHeight="true" outlineLevel="0" collapsed="false">
      <c r="A17" s="11" t="s">
        <v>33</v>
      </c>
      <c r="B17" s="12" t="n">
        <v>0.179270555959009</v>
      </c>
      <c r="C17" s="13" t="n">
        <v>22.217</v>
      </c>
    </row>
    <row r="18" customFormat="false" ht="15" hidden="false" customHeight="true" outlineLevel="0" collapsed="false">
      <c r="A18" s="11" t="s">
        <v>34</v>
      </c>
      <c r="B18" s="12" t="n">
        <v>0.179885605338418</v>
      </c>
      <c r="C18" s="13" t="n">
        <v>18.87</v>
      </c>
    </row>
    <row r="19" customFormat="false" ht="15" hidden="false" customHeight="true" outlineLevel="0" collapsed="false">
      <c r="A19" s="11" t="s">
        <v>35</v>
      </c>
      <c r="B19" s="12" t="n">
        <v>0.183584971232189</v>
      </c>
      <c r="C19" s="13" t="n">
        <v>47.543</v>
      </c>
    </row>
    <row r="20" customFormat="false" ht="15" hidden="false" customHeight="true" outlineLevel="0" collapsed="false">
      <c r="A20" s="11" t="s">
        <v>36</v>
      </c>
      <c r="B20" s="12" t="n">
        <v>0.183795384537696</v>
      </c>
      <c r="C20" s="13" t="n">
        <v>36.397</v>
      </c>
    </row>
    <row r="21" customFormat="false" ht="15" hidden="false" customHeight="true" outlineLevel="0" collapsed="false">
      <c r="A21" s="11" t="s">
        <v>37</v>
      </c>
      <c r="B21" s="12" t="n">
        <v>0.184137931034483</v>
      </c>
      <c r="C21" s="13" t="n">
        <v>21.36</v>
      </c>
    </row>
    <row r="22" customFormat="false" ht="15" hidden="false" customHeight="true" outlineLevel="0" collapsed="false">
      <c r="A22" s="11" t="s">
        <v>38</v>
      </c>
      <c r="B22" s="12" t="n">
        <v>0.185263562908811</v>
      </c>
      <c r="C22" s="13" t="n">
        <v>48.15</v>
      </c>
    </row>
    <row r="23" customFormat="false" ht="15" hidden="false" customHeight="true" outlineLevel="0" collapsed="false">
      <c r="A23" s="11" t="s">
        <v>39</v>
      </c>
      <c r="B23" s="12" t="n">
        <v>0.185683623095085</v>
      </c>
      <c r="C23" s="13" t="n">
        <v>34.604</v>
      </c>
    </row>
    <row r="24" customFormat="false" ht="15" hidden="false" customHeight="true" outlineLevel="0" collapsed="false">
      <c r="A24" s="11" t="s">
        <v>40</v>
      </c>
      <c r="B24" s="12" t="n">
        <v>0.186228721082497</v>
      </c>
      <c r="C24" s="13" t="n">
        <v>34.132</v>
      </c>
    </row>
    <row r="25" customFormat="false" ht="15" hidden="false" customHeight="true" outlineLevel="0" collapsed="false">
      <c r="A25" s="11" t="s">
        <v>41</v>
      </c>
      <c r="B25" s="12" t="n">
        <v>0.187186957252507</v>
      </c>
      <c r="C25" s="13" t="n">
        <v>33.411</v>
      </c>
    </row>
    <row r="27" customFormat="false" ht="15" hidden="false" customHeight="true" outlineLevel="0" collapsed="false">
      <c r="A27" s="3" t="s">
        <v>42</v>
      </c>
    </row>
    <row r="28" customFormat="false" ht="15" hidden="false" customHeight="true" outlineLevel="0" collapsed="false">
      <c r="A28" s="6" t="s">
        <v>27</v>
      </c>
      <c r="B28" s="6" t="s">
        <v>43</v>
      </c>
      <c r="C28" s="6" t="s">
        <v>29</v>
      </c>
    </row>
    <row r="29" customFormat="false" ht="15" hidden="false" customHeight="true" outlineLevel="0" collapsed="false">
      <c r="A29" s="14" t="s">
        <v>34</v>
      </c>
      <c r="B29" s="12" t="n">
        <v>0.0988560533841754</v>
      </c>
      <c r="C29" s="13" t="n">
        <v>10.37</v>
      </c>
    </row>
    <row r="30" customFormat="false" ht="15" hidden="false" customHeight="true" outlineLevel="0" collapsed="false">
      <c r="A30" s="15" t="s">
        <v>44</v>
      </c>
      <c r="B30" s="12" t="n">
        <v>0.108732694355698</v>
      </c>
      <c r="C30" s="13" t="n">
        <v>10.21</v>
      </c>
    </row>
    <row r="31" customFormat="false" ht="15" hidden="false" customHeight="true" outlineLevel="0" collapsed="false">
      <c r="A31" s="15" t="s">
        <v>33</v>
      </c>
      <c r="B31" s="12" t="n">
        <v>0.110683450334867</v>
      </c>
      <c r="C31" s="13" t="n">
        <v>13.717</v>
      </c>
    </row>
    <row r="32" customFormat="false" ht="15" hidden="false" customHeight="true" outlineLevel="0" collapsed="false">
      <c r="A32" s="15" t="s">
        <v>37</v>
      </c>
      <c r="B32" s="12" t="n">
        <v>0.110862068965517</v>
      </c>
      <c r="C32" s="13" t="n">
        <v>12.86</v>
      </c>
    </row>
    <row r="33" customFormat="false" ht="15" hidden="false" customHeight="true" outlineLevel="0" collapsed="false">
      <c r="A33" s="15" t="s">
        <v>31</v>
      </c>
      <c r="B33" s="12" t="n">
        <v>0.116511794138671</v>
      </c>
      <c r="C33" s="13" t="n">
        <v>16.3</v>
      </c>
    </row>
    <row r="34" customFormat="false" ht="15" hidden="false" customHeight="true" outlineLevel="0" collapsed="false">
      <c r="A34" s="15" t="s">
        <v>45</v>
      </c>
      <c r="B34" s="12" t="n">
        <v>0.117222173105826</v>
      </c>
      <c r="C34" s="13" t="n">
        <v>13.259</v>
      </c>
    </row>
    <row r="35" customFormat="false" ht="15" hidden="false" customHeight="true" outlineLevel="0" collapsed="false">
      <c r="A35" s="15" t="s">
        <v>46</v>
      </c>
      <c r="B35" s="12" t="n">
        <v>0.120432813286361</v>
      </c>
      <c r="C35" s="13" t="n">
        <v>14.358</v>
      </c>
    </row>
    <row r="36" customFormat="false" ht="15" hidden="false" customHeight="true" outlineLevel="0" collapsed="false">
      <c r="A36" s="15" t="s">
        <v>47</v>
      </c>
      <c r="B36" s="12" t="n">
        <v>0.12147406733394</v>
      </c>
      <c r="C36" s="13" t="n">
        <v>13.35</v>
      </c>
    </row>
    <row r="37" customFormat="false" ht="15" hidden="false" customHeight="true" outlineLevel="0" collapsed="false">
      <c r="A37" s="15" t="s">
        <v>48</v>
      </c>
      <c r="B37" s="12" t="n">
        <v>0.12671629445823</v>
      </c>
      <c r="C37" s="13" t="n">
        <v>15.32</v>
      </c>
    </row>
    <row r="38" customFormat="false" ht="15" hidden="false" customHeight="true" outlineLevel="0" collapsed="false">
      <c r="A38" s="15" t="s">
        <v>49</v>
      </c>
      <c r="B38" s="12" t="n">
        <v>0.127756059421423</v>
      </c>
      <c r="C38" s="13" t="n">
        <v>16.34</v>
      </c>
    </row>
    <row r="40" customFormat="false" ht="15" hidden="false" customHeight="true" outlineLevel="0" collapsed="false">
      <c r="A40" s="3" t="s">
        <v>50</v>
      </c>
    </row>
    <row r="41" customFormat="false" ht="15" hidden="false" customHeight="true" outlineLevel="0" collapsed="false">
      <c r="A41" s="6" t="s">
        <v>27</v>
      </c>
      <c r="B41" s="6" t="s">
        <v>28</v>
      </c>
      <c r="C41" s="6" t="s">
        <v>29</v>
      </c>
    </row>
    <row r="42" customFormat="false" ht="15" hidden="false" customHeight="true" outlineLevel="0" collapsed="false">
      <c r="A42" s="11" t="s">
        <v>51</v>
      </c>
      <c r="B42" s="12" t="n">
        <v>0.281588548975582</v>
      </c>
      <c r="C42" s="13" t="n">
        <v>100.33</v>
      </c>
    </row>
    <row r="43" customFormat="false" ht="15" hidden="false" customHeight="true" outlineLevel="0" collapsed="false">
      <c r="A43" s="11" t="s">
        <v>52</v>
      </c>
      <c r="B43" s="12" t="n">
        <v>0.280313636541395</v>
      </c>
      <c r="C43" s="13" t="n">
        <v>143.358</v>
      </c>
    </row>
    <row r="44" customFormat="false" ht="15" hidden="false" customHeight="true" outlineLevel="0" collapsed="false">
      <c r="A44" s="11" t="s">
        <v>53</v>
      </c>
      <c r="B44" s="12" t="n">
        <v>0.278660511265762</v>
      </c>
      <c r="C44" s="13" t="n">
        <v>161.768</v>
      </c>
    </row>
    <row r="45" customFormat="false" ht="15" hidden="false" customHeight="true" outlineLevel="0" collapsed="false">
      <c r="A45" s="11" t="s">
        <v>54</v>
      </c>
      <c r="B45" s="12" t="n">
        <v>0.272813482704403</v>
      </c>
      <c r="C45" s="13" t="n">
        <v>222.092</v>
      </c>
    </row>
    <row r="46" customFormat="false" ht="15" hidden="false" customHeight="true" outlineLevel="0" collapsed="false">
      <c r="A46" s="11" t="s">
        <v>55</v>
      </c>
      <c r="B46" s="12" t="n">
        <v>0.271862960757386</v>
      </c>
      <c r="C46" s="13" t="n">
        <v>223.697</v>
      </c>
    </row>
    <row r="47" customFormat="false" ht="15" hidden="false" customHeight="true" outlineLevel="0" collapsed="false">
      <c r="A47" s="11" t="s">
        <v>56</v>
      </c>
      <c r="B47" s="12" t="n">
        <v>0.262287807953559</v>
      </c>
      <c r="C47" s="13" t="n">
        <v>220.487</v>
      </c>
    </row>
    <row r="48" customFormat="false" ht="15" hidden="false" customHeight="true" outlineLevel="0" collapsed="false">
      <c r="A48" s="11" t="s">
        <v>57</v>
      </c>
      <c r="B48" s="12" t="n">
        <v>0.259781232756662</v>
      </c>
      <c r="C48" s="13" t="n">
        <v>160.072</v>
      </c>
    </row>
    <row r="49" customFormat="false" ht="15" hidden="false" customHeight="true" outlineLevel="0" collapsed="false">
      <c r="A49" s="11" t="s">
        <v>58</v>
      </c>
      <c r="B49" s="12" t="n">
        <v>0.25719388132128</v>
      </c>
      <c r="C49" s="13" t="n">
        <v>208.826</v>
      </c>
    </row>
    <row r="50" customFormat="false" ht="15" hidden="false" customHeight="true" outlineLevel="0" collapsed="false">
      <c r="A50" s="11" t="s">
        <v>59</v>
      </c>
      <c r="B50" s="12" t="n">
        <v>0.257021048528552</v>
      </c>
      <c r="C50" s="13" t="n">
        <v>211.004</v>
      </c>
    </row>
    <row r="51" customFormat="false" ht="15" hidden="false" customHeight="true" outlineLevel="0" collapsed="false">
      <c r="A51" s="11" t="s">
        <v>60</v>
      </c>
      <c r="B51" s="12" t="n">
        <v>0.253646874728332</v>
      </c>
      <c r="C51" s="13" t="n">
        <v>116.708</v>
      </c>
    </row>
    <row r="52" customFormat="false" ht="15" hidden="false" customHeight="true" outlineLevel="0" collapsed="false">
      <c r="A52" s="11" t="s">
        <v>61</v>
      </c>
      <c r="B52" s="12" t="n">
        <v>0.250635880280703</v>
      </c>
      <c r="C52" s="13" t="n">
        <v>268.223</v>
      </c>
    </row>
    <row r="53" customFormat="false" ht="15" hidden="false" customHeight="true" outlineLevel="0" collapsed="false">
      <c r="A53" s="11" t="s">
        <v>62</v>
      </c>
      <c r="B53" s="12" t="n">
        <v>0.249457319567781</v>
      </c>
      <c r="C53" s="13" t="n">
        <v>207.314</v>
      </c>
    </row>
    <row r="55" customFormat="false" ht="15" hidden="false" customHeight="true" outlineLevel="0" collapsed="false">
      <c r="A55" s="3" t="s">
        <v>63</v>
      </c>
    </row>
    <row r="56" customFormat="false" ht="15" hidden="false" customHeight="true" outlineLevel="0" collapsed="false">
      <c r="A56" s="16" t="s">
        <v>64</v>
      </c>
    </row>
    <row r="57" customFormat="false" ht="15" hidden="false" customHeight="true" outlineLevel="0" collapsed="false">
      <c r="A57" s="16" t="s">
        <v>65</v>
      </c>
    </row>
    <row r="58" customFormat="false" ht="15" hidden="false" customHeight="true" outlineLevel="0" collapsed="false">
      <c r="A58" s="16" t="s">
        <v>66</v>
      </c>
    </row>
    <row r="59" customFormat="false" ht="15" hidden="false" customHeight="true" outlineLevel="0" collapsed="false">
      <c r="A59" s="16" t="s">
        <v>67</v>
      </c>
    </row>
    <row r="60" customFormat="false" ht="15" hidden="false" customHeight="true" outlineLevel="0" collapsed="false">
      <c r="A60" s="16" t="s">
        <v>68</v>
      </c>
    </row>
    <row r="61" customFormat="false" ht="15" hidden="false" customHeight="true" outlineLevel="0" collapsed="false">
      <c r="A61" s="16" t="s">
        <v>69</v>
      </c>
    </row>
    <row r="62" customFormat="false" ht="15" hidden="false" customHeight="true" outlineLevel="0" collapsed="false">
      <c r="A62" s="16" t="s">
        <v>70</v>
      </c>
    </row>
    <row r="63" customFormat="false" ht="15" hidden="false" customHeight="true" outlineLevel="0" collapsed="false">
      <c r="A63" s="16" t="s">
        <v>71</v>
      </c>
    </row>
    <row r="64" customFormat="false" ht="15" hidden="false" customHeight="true" outlineLevel="0" collapsed="false">
      <c r="A64" s="16" t="s">
        <v>72</v>
      </c>
    </row>
    <row r="65" customFormat="false" ht="15" hidden="false" customHeight="true" outlineLevel="0" collapsed="false">
      <c r="A65" s="16" t="s">
        <v>73</v>
      </c>
    </row>
    <row r="66" customFormat="false" ht="15" hidden="false" customHeight="true" outlineLevel="0" collapsed="false">
      <c r="A66" s="16" t="s">
        <v>74</v>
      </c>
    </row>
    <row r="67" customFormat="false" ht="15" hidden="false" customHeight="true" outlineLevel="0" collapsed="false">
      <c r="A67" s="16" t="s">
        <v>75</v>
      </c>
    </row>
    <row r="68" customFormat="false" ht="15" hidden="false" customHeight="true" outlineLevel="0" collapsed="false">
      <c r="A68" s="16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P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180" activePane="bottomLeft" state="frozen"/>
      <selection pane="topLeft" activeCell="A1" activeCellId="0" sqref="A1"/>
      <selection pane="bottomLeft" activeCell="D241" activeCellId="0" sqref="D24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8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13"/>
    <col collapsed="false" customWidth="true" hidden="false" outlineLevel="0" max="13" min="13" style="1" width="12"/>
    <col collapsed="false" customWidth="true" hidden="false" outlineLevel="0" max="14" min="14" style="1" width="10"/>
    <col collapsed="false" customWidth="true" hidden="false" outlineLevel="0" max="15" min="15" style="1" width="24"/>
    <col collapsed="false" customWidth="true" hidden="false" outlineLevel="0" max="16" min="16" style="1" width="45"/>
  </cols>
  <sheetData>
    <row r="1" customFormat="false" ht="15.75" hidden="false" customHeight="true" outlineLevel="0" collapsed="false">
      <c r="A1" s="2" t="s">
        <v>77</v>
      </c>
    </row>
    <row r="2" customFormat="false" ht="15" hidden="false" customHeight="true" outlineLevel="0" collapsed="false">
      <c r="A2" s="5" t="s">
        <v>78</v>
      </c>
    </row>
    <row r="3" customFormat="false" ht="15" hidden="false" customHeight="true" outlineLevel="0" collapsed="false">
      <c r="A3" s="3" t="s">
        <v>79</v>
      </c>
      <c r="B3" s="17" t="n">
        <v>0.1</v>
      </c>
      <c r="D3" s="3" t="s">
        <v>80</v>
      </c>
      <c r="H3" s="17"/>
    </row>
    <row r="6" customFormat="false" ht="23.25" hidden="false" customHeight="true" outlineLevel="0" collapsed="false">
      <c r="A6" s="18" t="s">
        <v>27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85</v>
      </c>
      <c r="G6" s="18" t="s">
        <v>86</v>
      </c>
      <c r="H6" s="18" t="s">
        <v>87</v>
      </c>
      <c r="I6" s="18" t="s">
        <v>88</v>
      </c>
      <c r="J6" s="18" t="s">
        <v>89</v>
      </c>
      <c r="K6" s="18" t="s">
        <v>90</v>
      </c>
      <c r="L6" s="18" t="s">
        <v>91</v>
      </c>
      <c r="M6" s="18" t="s">
        <v>92</v>
      </c>
      <c r="N6" s="18" t="s">
        <v>93</v>
      </c>
      <c r="O6" s="18" t="s">
        <v>18</v>
      </c>
      <c r="P6" s="18" t="s">
        <v>94</v>
      </c>
    </row>
    <row r="7" customFormat="false" ht="15" hidden="true" customHeight="true" outlineLevel="0" collapsed="false">
      <c r="A7" s="19" t="s">
        <v>95</v>
      </c>
      <c r="B7" s="19" t="s">
        <v>96</v>
      </c>
      <c r="C7" s="19" t="s">
        <v>97</v>
      </c>
      <c r="D7" s="20" t="n">
        <v>195.21</v>
      </c>
      <c r="E7" s="21" t="n">
        <v>0</v>
      </c>
      <c r="F7" s="20" t="n">
        <v>97.42</v>
      </c>
      <c r="G7" s="13" t="n">
        <v>25.04</v>
      </c>
      <c r="H7" s="13" t="n">
        <f aca="false">IF(D7="","",D7*(1-E7))</f>
        <v>195.21</v>
      </c>
      <c r="I7" s="12" t="n">
        <f aca="false">IF(OR(G7="",H7=""),"",G7/H7)</f>
        <v>0.12827211720711</v>
      </c>
      <c r="J7" s="13" t="n">
        <f aca="false">IF(OR(B7="",C7=""),"",INDEX(Ref_Frete!$B$2:$G$54,MATCH(C7,Ref_Frete!$A$2:$A$54,0),IF(B7="Pequenos",2,IF(B7="Medios",4,6))))</f>
        <v>24.9</v>
      </c>
      <c r="K7" s="13" t="n">
        <f aca="false">IF(OR(B7="",C7=""),"",INDEX(Ref_Frete!$B$2:$G$54,MATCH(C7,Ref_Frete!$A$2:$A$54,0),IF(B7="Pequenos",1,IF(B7="Medios",3,5))))</f>
        <v>46.5</v>
      </c>
      <c r="L7" s="13" t="n">
        <f aca="false">IF(OR(J7="",K7=""),"",J7-K7)</f>
        <v>-21.6</v>
      </c>
      <c r="M7" s="13" t="n">
        <f aca="false">IF(OR(H7="",F7="",G7=""),"",H7-G7-F7-H7*$B$3+IF(L7="",0,L7))</f>
        <v>31.629</v>
      </c>
      <c r="N7" s="12" t="n">
        <f aca="false">IF(OR(M7="",H7=0,H7=""),"",M7/H7)</f>
        <v>0.162025510988167</v>
      </c>
      <c r="O7" s="22" t="str">
        <f aca="false">IF(N7="","",IF(N7&lt;0,"PREJUÍZO",IF(N7&lt;0.1,"CRÍTICO (&lt;10%)",IF(N7&lt;0.15,"ABAIXO DA META (10-15%)",IF(N7&lt;=0.2,"DENTRO DA META (15-20%)","ACIMA DA META (&gt;20%)")))))</f>
        <v>DENTRO DA META (15-20%)</v>
      </c>
      <c r="P7" s="23"/>
    </row>
    <row r="8" customFormat="false" ht="15" hidden="false" customHeight="true" outlineLevel="0" collapsed="false">
      <c r="A8" s="19" t="s">
        <v>95</v>
      </c>
      <c r="B8" s="19" t="s">
        <v>96</v>
      </c>
      <c r="C8" s="19" t="s">
        <v>98</v>
      </c>
      <c r="D8" s="20" t="n">
        <v>195.21</v>
      </c>
      <c r="E8" s="21" t="n">
        <v>0</v>
      </c>
      <c r="F8" s="20" t="n">
        <v>97.42</v>
      </c>
      <c r="G8" s="13" t="n">
        <v>25.04</v>
      </c>
      <c r="H8" s="13" t="n">
        <f aca="false">IF(D8="","",D8*(1-E8))</f>
        <v>195.21</v>
      </c>
      <c r="I8" s="12" t="n">
        <f aca="false">IF(OR(G8="",H8=""),"",G8/H8)</f>
        <v>0.12827211720711</v>
      </c>
      <c r="J8" s="13" t="n">
        <f aca="false">IF(OR(B8="",C8=""),"",INDEX(Ref_Frete!$B$2:$G$54,MATCH(C8,Ref_Frete!$A$2:$A$54,0),IF(B8="Pequenos",2,IF(B8="Medios",4,6))))</f>
        <v>16.9</v>
      </c>
      <c r="K8" s="13" t="n">
        <f aca="false">IF(OR(B8="",C8=""),"",INDEX(Ref_Frete!$B$2:$G$54,MATCH(C8,Ref_Frete!$A$2:$A$54,0),IF(B8="Pequenos",1,IF(B8="Medios",3,5))))</f>
        <v>30</v>
      </c>
      <c r="L8" s="13" t="n">
        <f aca="false">IF(OR(J8="",K8=""),"",J8-K8)</f>
        <v>-13.1</v>
      </c>
      <c r="M8" s="13" t="n">
        <f aca="false">IF(OR(H8="",F8="",G8=""),"",H8-G8-F8-H8*$B$3+IF(L8="",0,L8))</f>
        <v>40.129</v>
      </c>
      <c r="N8" s="12" t="n">
        <f aca="false">IF(OR(M8="",H8=0,H8=""),"",M8/H8)</f>
        <v>0.205568362276523</v>
      </c>
      <c r="O8" s="22" t="str">
        <f aca="false">IF(N8="","",IF(N8&lt;0,"PREJUÍZO",IF(N8&lt;0.1,"CRÍTICO (&lt;10%)",IF(N8&lt;0.15,"ABAIXO DA META (10-15%)",IF(N8&lt;=0.2,"DENTRO DA META (15-20%)","ACIMA DA META (&gt;20%)")))))</f>
        <v>ACIMA DA META (&gt;20%)</v>
      </c>
      <c r="P8" s="23"/>
    </row>
    <row r="9" customFormat="false" ht="21.75" hidden="true" customHeight="true" outlineLevel="0" collapsed="false">
      <c r="A9" s="19" t="s">
        <v>99</v>
      </c>
      <c r="B9" s="19" t="s">
        <v>96</v>
      </c>
      <c r="C9" s="19" t="s">
        <v>97</v>
      </c>
      <c r="D9" s="20" t="n">
        <v>245.9</v>
      </c>
      <c r="E9" s="21" t="n">
        <v>0</v>
      </c>
      <c r="F9" s="20" t="n">
        <v>127.42</v>
      </c>
      <c r="G9" s="13" t="n">
        <v>31.41</v>
      </c>
      <c r="H9" s="13" t="n">
        <f aca="false">IF(D9="","",D9*(1-E9))</f>
        <v>245.9</v>
      </c>
      <c r="I9" s="12" t="n">
        <f aca="false">IF(OR(G9="",H9=""),"",G9/H9)</f>
        <v>0.127734851565677</v>
      </c>
      <c r="J9" s="13" t="n">
        <f aca="false">IF(OR(B9="",C9=""),"",INDEX(Ref_Frete!$B$2:$G$54,MATCH(C9,Ref_Frete!$A$2:$A$54,0),IF(B9="Pequenos",2,IF(B9="Medios",4,6))))</f>
        <v>24.9</v>
      </c>
      <c r="K9" s="13" t="n">
        <f aca="false">IF(OR(B9="",C9=""),"",INDEX(Ref_Frete!$B$2:$G$54,MATCH(C9,Ref_Frete!$A$2:$A$54,0),IF(B9="Pequenos",1,IF(B9="Medios",3,5))))</f>
        <v>46.5</v>
      </c>
      <c r="L9" s="13" t="n">
        <f aca="false">IF(OR(J9="",K9=""),"",J9-K9)</f>
        <v>-21.6</v>
      </c>
      <c r="M9" s="13" t="n">
        <f aca="false">IF(OR(H9="",F9="",G9=""),"",H9-G9-F9-H9*$B$3+IF(L9="",0,L9))</f>
        <v>40.88</v>
      </c>
      <c r="N9" s="12" t="n">
        <f aca="false">IF(OR(M9="",H9=0,H9=""),"",M9/H9)</f>
        <v>0.166246441642944</v>
      </c>
      <c r="O9" s="22" t="str">
        <f aca="false">IF(N9="","",IF(N9&lt;0,"PREJUÍZO",IF(N9&lt;0.1,"CRÍTICO (&lt;10%)",IF(N9&lt;0.15,"ABAIXO DA META (10-15%)",IF(N9&lt;=0.2,"DENTRO DA META (15-20%)","ACIMA DA META (&gt;20%)")))))</f>
        <v>DENTRO DA META (15-20%)</v>
      </c>
      <c r="P9" s="23" t="s">
        <v>100</v>
      </c>
    </row>
    <row r="10" customFormat="false" ht="21.75" hidden="false" customHeight="true" outlineLevel="0" collapsed="false">
      <c r="A10" s="19" t="s">
        <v>99</v>
      </c>
      <c r="B10" s="19" t="s">
        <v>96</v>
      </c>
      <c r="C10" s="19" t="s">
        <v>98</v>
      </c>
      <c r="D10" s="20" t="n">
        <v>245.9</v>
      </c>
      <c r="E10" s="21" t="n">
        <v>0</v>
      </c>
      <c r="F10" s="20" t="n">
        <v>127.42</v>
      </c>
      <c r="G10" s="13" t="n">
        <v>31.41</v>
      </c>
      <c r="H10" s="13" t="n">
        <f aca="false">IF(D10="","",D10*(1-E10))</f>
        <v>245.9</v>
      </c>
      <c r="I10" s="12" t="n">
        <f aca="false">IF(OR(G10="",H10=""),"",G10/H10)</f>
        <v>0.127734851565677</v>
      </c>
      <c r="J10" s="13" t="n">
        <f aca="false">IF(OR(B10="",C10=""),"",INDEX(Ref_Frete!$B$2:$G$54,MATCH(C10,Ref_Frete!$A$2:$A$54,0),IF(B10="Pequenos",2,IF(B10="Medios",4,6))))</f>
        <v>16.9</v>
      </c>
      <c r="K10" s="13" t="n">
        <f aca="false">IF(OR(B10="",C10=""),"",INDEX(Ref_Frete!$B$2:$G$54,MATCH(C10,Ref_Frete!$A$2:$A$54,0),IF(B10="Pequenos",1,IF(B10="Medios",3,5))))</f>
        <v>30</v>
      </c>
      <c r="L10" s="13" t="n">
        <f aca="false">IF(OR(J10="",K10=""),"",J10-K10)</f>
        <v>-13.1</v>
      </c>
      <c r="M10" s="13" t="n">
        <f aca="false">IF(OR(H10="",F10="",G10=""),"",H10-G10-F10-H10*$B$3+IF(L10="",0,L10))</f>
        <v>49.38</v>
      </c>
      <c r="N10" s="12" t="n">
        <f aca="false">IF(OR(M10="",H10=0,H10=""),"",M10/H10)</f>
        <v>0.200813338755592</v>
      </c>
      <c r="O10" s="22" t="str">
        <f aca="false">IF(N10="","",IF(N10&lt;0,"PREJUÍZO",IF(N10&lt;0.1,"CRÍTICO (&lt;10%)",IF(N10&lt;0.15,"ABAIXO DA META (10-15%)",IF(N10&lt;=0.2,"DENTRO DA META (15-20%)","ACIMA DA META (&gt;20%)")))))</f>
        <v>ACIMA DA META (&gt;20%)</v>
      </c>
      <c r="P10" s="23" t="s">
        <v>100</v>
      </c>
    </row>
    <row r="11" customFormat="false" ht="15" hidden="true" customHeight="true" outlineLevel="0" collapsed="false">
      <c r="A11" s="19" t="s">
        <v>30</v>
      </c>
      <c r="B11" s="19" t="s">
        <v>96</v>
      </c>
      <c r="C11" s="19" t="s">
        <v>97</v>
      </c>
      <c r="D11" s="20" t="n">
        <v>244.9</v>
      </c>
      <c r="E11" s="21" t="n">
        <v>0</v>
      </c>
      <c r="F11" s="20" t="n">
        <v>134.46</v>
      </c>
      <c r="G11" s="13" t="n">
        <v>31.29</v>
      </c>
      <c r="H11" s="13" t="n">
        <f aca="false">IF(D11="","",D11*(1-E11))</f>
        <v>244.9</v>
      </c>
      <c r="I11" s="12" t="n">
        <f aca="false">IF(OR(G11="",H11=""),"",G11/H11)</f>
        <v>0.127766435279706</v>
      </c>
      <c r="J11" s="13" t="n">
        <f aca="false">IF(OR(B11="",C11=""),"",INDEX(Ref_Frete!$B$2:$G$54,MATCH(C11,Ref_Frete!$A$2:$A$54,0),IF(B11="Pequenos",2,IF(B11="Medios",4,6))))</f>
        <v>24.9</v>
      </c>
      <c r="K11" s="13" t="n">
        <f aca="false">IF(OR(B11="",C11=""),"",INDEX(Ref_Frete!$B$2:$G$54,MATCH(C11,Ref_Frete!$A$2:$A$54,0),IF(B11="Pequenos",1,IF(B11="Medios",3,5))))</f>
        <v>46.5</v>
      </c>
      <c r="L11" s="13" t="n">
        <f aca="false">IF(OR(J11="",K11=""),"",J11-K11)</f>
        <v>-21.6</v>
      </c>
      <c r="M11" s="13" t="n">
        <f aca="false">IF(OR(H11="",F11="",G11=""),"",H11-G11-F11-H11*$B$3+IF(L11="",0,L11))</f>
        <v>33.06</v>
      </c>
      <c r="N11" s="12" t="n">
        <f aca="false">IF(OR(M11="",H11=0,H11=""),"",M11/H11)</f>
        <v>0.134993875051041</v>
      </c>
      <c r="O11" s="22" t="str">
        <f aca="false">IF(N11="","",IF(N11&lt;0,"PREJUÍZO",IF(N11&lt;0.1,"CRÍTICO (&lt;10%)",IF(N11&lt;0.15,"ABAIXO DA META (10-15%)",IF(N11&lt;=0.2,"DENTRO DA META (15-20%)","ACIMA DA META (&gt;20%)")))))</f>
        <v>ABAIXO DA META (10-15%)</v>
      </c>
      <c r="P11" s="23"/>
    </row>
    <row r="12" customFormat="false" ht="15" hidden="true" customHeight="true" outlineLevel="0" collapsed="false">
      <c r="A12" s="19" t="s">
        <v>30</v>
      </c>
      <c r="B12" s="19" t="s">
        <v>96</v>
      </c>
      <c r="C12" s="19" t="s">
        <v>98</v>
      </c>
      <c r="D12" s="20" t="n">
        <v>244.9</v>
      </c>
      <c r="E12" s="21" t="n">
        <v>0</v>
      </c>
      <c r="F12" s="20" t="n">
        <v>134.46</v>
      </c>
      <c r="G12" s="13" t="n">
        <v>31.29</v>
      </c>
      <c r="H12" s="13" t="n">
        <f aca="false">IF(D12="","",D12*(1-E12))</f>
        <v>244.9</v>
      </c>
      <c r="I12" s="12" t="n">
        <f aca="false">IF(OR(G12="",H12=""),"",G12/H12)</f>
        <v>0.127766435279706</v>
      </c>
      <c r="J12" s="13" t="n">
        <f aca="false">IF(OR(B12="",C12=""),"",INDEX(Ref_Frete!$B$2:$G$54,MATCH(C12,Ref_Frete!$A$2:$A$54,0),IF(B12="Pequenos",2,IF(B12="Medios",4,6))))</f>
        <v>16.9</v>
      </c>
      <c r="K12" s="13" t="n">
        <f aca="false">IF(OR(B12="",C12=""),"",INDEX(Ref_Frete!$B$2:$G$54,MATCH(C12,Ref_Frete!$A$2:$A$54,0),IF(B12="Pequenos",1,IF(B12="Medios",3,5))))</f>
        <v>30</v>
      </c>
      <c r="L12" s="13" t="n">
        <f aca="false">IF(OR(J12="",K12=""),"",J12-K12)</f>
        <v>-13.1</v>
      </c>
      <c r="M12" s="13" t="n">
        <f aca="false">IF(OR(H12="",F12="",G12=""),"",H12-G12-F12-H12*$B$3+IF(L12="",0,L12))</f>
        <v>41.56</v>
      </c>
      <c r="N12" s="12" t="n">
        <f aca="false">IF(OR(M12="",H12=0,H12=""),"",M12/H12)</f>
        <v>0.169701919150674</v>
      </c>
      <c r="O12" s="22" t="str">
        <f aca="false">IF(N12="","",IF(N12&lt;0,"PREJUÍZO",IF(N12&lt;0.1,"CRÍTICO (&lt;10%)",IF(N12&lt;0.15,"ABAIXO DA META (10-15%)",IF(N12&lt;=0.2,"DENTRO DA META (15-20%)","ACIMA DA META (&gt;20%)")))))</f>
        <v>DENTRO DA META (15-20%)</v>
      </c>
      <c r="P12" s="23"/>
    </row>
    <row r="13" customFormat="false" ht="21.75" hidden="true" customHeight="true" outlineLevel="0" collapsed="false">
      <c r="A13" s="19" t="s">
        <v>101</v>
      </c>
      <c r="B13" s="19" t="s">
        <v>96</v>
      </c>
      <c r="C13" s="19" t="s">
        <v>97</v>
      </c>
      <c r="D13" s="20" t="n">
        <v>290</v>
      </c>
      <c r="E13" s="21" t="n">
        <v>0</v>
      </c>
      <c r="F13" s="20" t="n">
        <v>154.46</v>
      </c>
      <c r="G13" s="13" t="n">
        <v>36.92</v>
      </c>
      <c r="H13" s="13" t="n">
        <f aca="false">IF(D13="","",D13*(1-E13))</f>
        <v>290</v>
      </c>
      <c r="I13" s="12" t="n">
        <f aca="false">IF(OR(G13="",H13=""),"",G13/H13)</f>
        <v>0.127310344827586</v>
      </c>
      <c r="J13" s="13" t="n">
        <f aca="false">IF(OR(B13="",C13=""),"",INDEX(Ref_Frete!$B$2:$G$54,MATCH(C13,Ref_Frete!$A$2:$A$54,0),IF(B13="Pequenos",2,IF(B13="Medios",4,6))))</f>
        <v>24.9</v>
      </c>
      <c r="K13" s="13" t="n">
        <f aca="false">IF(OR(B13="",C13=""),"",INDEX(Ref_Frete!$B$2:$G$54,MATCH(C13,Ref_Frete!$A$2:$A$54,0),IF(B13="Pequenos",1,IF(B13="Medios",3,5))))</f>
        <v>46.5</v>
      </c>
      <c r="L13" s="13" t="n">
        <f aca="false">IF(OR(J13="",K13=""),"",J13-K13)</f>
        <v>-21.6</v>
      </c>
      <c r="M13" s="13" t="n">
        <f aca="false">IF(OR(H13="",F13="",G13=""),"",H13-G13-F13-H13*$B$3+IF(L13="",0,L13))</f>
        <v>48.02</v>
      </c>
      <c r="N13" s="12" t="n">
        <f aca="false">IF(OR(M13="",H13=0,H13=""),"",M13/H13)</f>
        <v>0.165586206896552</v>
      </c>
      <c r="O13" s="22" t="str">
        <f aca="false">IF(N13="","",IF(N13&lt;0,"PREJUÍZO",IF(N13&lt;0.1,"CRÍTICO (&lt;10%)",IF(N13&lt;0.15,"ABAIXO DA META (10-15%)",IF(N13&lt;=0.2,"DENTRO DA META (15-20%)","ACIMA DA META (&gt;20%)")))))</f>
        <v>DENTRO DA META (15-20%)</v>
      </c>
      <c r="P13" s="23" t="s">
        <v>102</v>
      </c>
    </row>
    <row r="14" customFormat="false" ht="21.75" hidden="false" customHeight="true" outlineLevel="0" collapsed="false">
      <c r="A14" s="19" t="s">
        <v>101</v>
      </c>
      <c r="B14" s="19" t="s">
        <v>96</v>
      </c>
      <c r="C14" s="19" t="s">
        <v>98</v>
      </c>
      <c r="D14" s="20" t="n">
        <v>290</v>
      </c>
      <c r="E14" s="21" t="n">
        <v>0</v>
      </c>
      <c r="F14" s="20" t="n">
        <v>154.46</v>
      </c>
      <c r="G14" s="13" t="n">
        <v>36.92</v>
      </c>
      <c r="H14" s="13" t="n">
        <f aca="false">IF(D14="","",D14*(1-E14))</f>
        <v>290</v>
      </c>
      <c r="I14" s="12" t="n">
        <f aca="false">IF(OR(G14="",H14=""),"",G14/H14)</f>
        <v>0.127310344827586</v>
      </c>
      <c r="J14" s="13" t="n">
        <f aca="false">IF(OR(B14="",C14=""),"",INDEX(Ref_Frete!$B$2:$G$54,MATCH(C14,Ref_Frete!$A$2:$A$54,0),IF(B14="Pequenos",2,IF(B14="Medios",4,6))))</f>
        <v>16.9</v>
      </c>
      <c r="K14" s="13" t="n">
        <f aca="false">IF(OR(B14="",C14=""),"",INDEX(Ref_Frete!$B$2:$G$54,MATCH(C14,Ref_Frete!$A$2:$A$54,0),IF(B14="Pequenos",1,IF(B14="Medios",3,5))))</f>
        <v>30</v>
      </c>
      <c r="L14" s="13" t="n">
        <f aca="false">IF(OR(J14="",K14=""),"",J14-K14)</f>
        <v>-13.1</v>
      </c>
      <c r="M14" s="13" t="n">
        <f aca="false">IF(OR(H14="",F14="",G14=""),"",H14-G14-F14-H14*$B$3+IF(L14="",0,L14))</f>
        <v>56.52</v>
      </c>
      <c r="N14" s="12" t="n">
        <f aca="false">IF(OR(M14="",H14=0,H14=""),"",M14/H14)</f>
        <v>0.194896551724138</v>
      </c>
      <c r="O14" s="22" t="str">
        <f aca="false">IF(N14="","",IF(N14&lt;0,"PREJUÍZO",IF(N14&lt;0.1,"CRÍTICO (&lt;10%)",IF(N14&lt;0.15,"ABAIXO DA META (10-15%)",IF(N14&lt;=0.2,"DENTRO DA META (15-20%)","ACIMA DA META (&gt;20%)")))))</f>
        <v>DENTRO DA META (15-20%)</v>
      </c>
      <c r="P14" s="23" t="s">
        <v>102</v>
      </c>
    </row>
    <row r="15" customFormat="false" ht="15" hidden="true" customHeight="true" outlineLevel="0" collapsed="false">
      <c r="A15" s="19" t="s">
        <v>103</v>
      </c>
      <c r="B15" s="19" t="s">
        <v>96</v>
      </c>
      <c r="C15" s="19" t="s">
        <v>97</v>
      </c>
      <c r="D15" s="20" t="n">
        <v>344.76</v>
      </c>
      <c r="E15" s="21" t="n">
        <v>0</v>
      </c>
      <c r="F15" s="20" t="n">
        <v>181.23</v>
      </c>
      <c r="G15" s="13" t="n">
        <v>42.92</v>
      </c>
      <c r="H15" s="13" t="n">
        <f aca="false">IF(D15="","",D15*(1-E15))</f>
        <v>344.76</v>
      </c>
      <c r="I15" s="12" t="n">
        <f aca="false">IF(OR(G15="",H15=""),"",G15/H15)</f>
        <v>0.1244924005105</v>
      </c>
      <c r="J15" s="13" t="n">
        <f aca="false">IF(OR(B15="",C15=""),"",INDEX(Ref_Frete!$B$2:$G$54,MATCH(C15,Ref_Frete!$A$2:$A$54,0),IF(B15="Pequenos",2,IF(B15="Medios",4,6))))</f>
        <v>24.9</v>
      </c>
      <c r="K15" s="13" t="n">
        <f aca="false">IF(OR(B15="",C15=""),"",INDEX(Ref_Frete!$B$2:$G$54,MATCH(C15,Ref_Frete!$A$2:$A$54,0),IF(B15="Pequenos",1,IF(B15="Medios",3,5))))</f>
        <v>46.5</v>
      </c>
      <c r="L15" s="13" t="n">
        <f aca="false">IF(OR(J15="",K15=""),"",J15-K15)</f>
        <v>-21.6</v>
      </c>
      <c r="M15" s="13" t="n">
        <f aca="false">IF(OR(H15="",F15="",G15=""),"",H15-G15-F15-H15*$B$3+IF(L15="",0,L15))</f>
        <v>64.534</v>
      </c>
      <c r="N15" s="12" t="n">
        <f aca="false">IF(OR(M15="",H15=0,H15=""),"",M15/H15)</f>
        <v>0.18718528831651</v>
      </c>
      <c r="O15" s="22" t="str">
        <f aca="false">IF(N15="","",IF(N15&lt;0,"PREJUÍZO",IF(N15&lt;0.1,"CRÍTICO (&lt;10%)",IF(N15&lt;0.15,"ABAIXO DA META (10-15%)",IF(N15&lt;=0.2,"DENTRO DA META (15-20%)","ACIMA DA META (&gt;20%)")))))</f>
        <v>DENTRO DA META (15-20%)</v>
      </c>
      <c r="P15" s="23"/>
    </row>
    <row r="16" customFormat="false" ht="15" hidden="false" customHeight="true" outlineLevel="0" collapsed="false">
      <c r="A16" s="19" t="s">
        <v>103</v>
      </c>
      <c r="B16" s="19" t="s">
        <v>96</v>
      </c>
      <c r="C16" s="19" t="s">
        <v>98</v>
      </c>
      <c r="D16" s="20" t="n">
        <v>344.76</v>
      </c>
      <c r="E16" s="21" t="n">
        <v>0</v>
      </c>
      <c r="F16" s="20" t="n">
        <v>181.23</v>
      </c>
      <c r="G16" s="13" t="n">
        <v>42.92</v>
      </c>
      <c r="H16" s="13" t="n">
        <f aca="false">IF(D16="","",D16*(1-E16))</f>
        <v>344.76</v>
      </c>
      <c r="I16" s="12" t="n">
        <f aca="false">IF(OR(G16="",H16=""),"",G16/H16)</f>
        <v>0.1244924005105</v>
      </c>
      <c r="J16" s="13" t="n">
        <f aca="false">IF(OR(B16="",C16=""),"",INDEX(Ref_Frete!$B$2:$G$54,MATCH(C16,Ref_Frete!$A$2:$A$54,0),IF(B16="Pequenos",2,IF(B16="Medios",4,6))))</f>
        <v>16.9</v>
      </c>
      <c r="K16" s="13" t="n">
        <f aca="false">IF(OR(B16="",C16=""),"",INDEX(Ref_Frete!$B$2:$G$54,MATCH(C16,Ref_Frete!$A$2:$A$54,0),IF(B16="Pequenos",1,IF(B16="Medios",3,5))))</f>
        <v>30</v>
      </c>
      <c r="L16" s="13" t="n">
        <f aca="false">IF(OR(J16="",K16=""),"",J16-K16)</f>
        <v>-13.1</v>
      </c>
      <c r="M16" s="13" t="n">
        <f aca="false">IF(OR(H16="",F16="",G16=""),"",H16-G16-F16-H16*$B$3+IF(L16="",0,L16))</f>
        <v>73.034</v>
      </c>
      <c r="N16" s="12" t="n">
        <f aca="false">IF(OR(M16="",H16=0,H16=""),"",M16/H16)</f>
        <v>0.21184012066365</v>
      </c>
      <c r="O16" s="22" t="str">
        <f aca="false">IF(N16="","",IF(N16&lt;0,"PREJUÍZO",IF(N16&lt;0.1,"CRÍTICO (&lt;10%)",IF(N16&lt;0.15,"ABAIXO DA META (10-15%)",IF(N16&lt;=0.2,"DENTRO DA META (15-20%)","ACIMA DA META (&gt;20%)")))))</f>
        <v>ACIMA DA META (&gt;20%)</v>
      </c>
      <c r="P16" s="23"/>
    </row>
    <row r="17" customFormat="false" ht="15" hidden="true" customHeight="true" outlineLevel="0" collapsed="false">
      <c r="A17" s="19" t="s">
        <v>44</v>
      </c>
      <c r="B17" s="19" t="s">
        <v>96</v>
      </c>
      <c r="C17" s="19" t="s">
        <v>97</v>
      </c>
      <c r="D17" s="20" t="n">
        <v>93.9</v>
      </c>
      <c r="E17" s="21" t="n">
        <v>0</v>
      </c>
      <c r="F17" s="20" t="n">
        <v>39.8</v>
      </c>
      <c r="G17" s="13" t="n">
        <v>12.9</v>
      </c>
      <c r="H17" s="13" t="n">
        <f aca="false">IF(D17="","",D17*(1-E17))</f>
        <v>93.9</v>
      </c>
      <c r="I17" s="12" t="n">
        <f aca="false">IF(OR(G17="",H17=""),"",G17/H17)</f>
        <v>0.137380191693291</v>
      </c>
      <c r="J17" s="13" t="n">
        <f aca="false">IF(OR(B17="",C17=""),"",INDEX(Ref_Frete!$B$2:$G$54,MATCH(C17,Ref_Frete!$A$2:$A$54,0),IF(B17="Pequenos",2,IF(B17="Medios",4,6))))</f>
        <v>24.9</v>
      </c>
      <c r="K17" s="13" t="n">
        <f aca="false">IF(OR(B17="",C17=""),"",INDEX(Ref_Frete!$B$2:$G$54,MATCH(C17,Ref_Frete!$A$2:$A$54,0),IF(B17="Pequenos",1,IF(B17="Medios",3,5))))</f>
        <v>46.5</v>
      </c>
      <c r="L17" s="13" t="n">
        <f aca="false">IF(OR(J17="",K17=""),"",J17-K17)</f>
        <v>-21.6</v>
      </c>
      <c r="M17" s="13" t="n">
        <f aca="false">IF(OR(H17="",F17="",G17=""),"",H17-G17-F17-H17*$B$3+IF(L17="",0,L17))</f>
        <v>10.21</v>
      </c>
      <c r="N17" s="12" t="n">
        <f aca="false">IF(OR(M17="",H17=0,H17=""),"",M17/H17)</f>
        <v>0.108732694355698</v>
      </c>
      <c r="O17" s="22" t="str">
        <f aca="false">IF(N17="","",IF(N17&lt;0,"PREJUÍZO",IF(N17&lt;0.1,"CRÍTICO (&lt;10%)",IF(N17&lt;0.15,"ABAIXO DA META (10-15%)",IF(N17&lt;=0.2,"DENTRO DA META (15-20%)","ACIMA DA META (&gt;20%)")))))</f>
        <v>ABAIXO DA META (10-15%)</v>
      </c>
      <c r="P17" s="23"/>
    </row>
    <row r="18" customFormat="false" ht="15" hidden="false" customHeight="true" outlineLevel="0" collapsed="false">
      <c r="A18" s="19" t="s">
        <v>44</v>
      </c>
      <c r="B18" s="19" t="s">
        <v>96</v>
      </c>
      <c r="C18" s="19" t="s">
        <v>98</v>
      </c>
      <c r="D18" s="20" t="n">
        <v>93.9</v>
      </c>
      <c r="E18" s="21" t="n">
        <v>0</v>
      </c>
      <c r="F18" s="20" t="n">
        <v>39.8</v>
      </c>
      <c r="G18" s="13" t="n">
        <v>12.9</v>
      </c>
      <c r="H18" s="13" t="n">
        <f aca="false">IF(D18="","",D18*(1-E18))</f>
        <v>93.9</v>
      </c>
      <c r="I18" s="12" t="n">
        <f aca="false">IF(OR(G18="",H18=""),"",G18/H18)</f>
        <v>0.137380191693291</v>
      </c>
      <c r="J18" s="13" t="n">
        <f aca="false">IF(OR(B18="",C18=""),"",INDEX(Ref_Frete!$B$2:$G$54,MATCH(C18,Ref_Frete!$A$2:$A$54,0),IF(B18="Pequenos",2,IF(B18="Medios",4,6))))</f>
        <v>16.9</v>
      </c>
      <c r="K18" s="13" t="n">
        <f aca="false">IF(OR(B18="",C18=""),"",INDEX(Ref_Frete!$B$2:$G$54,MATCH(C18,Ref_Frete!$A$2:$A$54,0),IF(B18="Pequenos",1,IF(B18="Medios",3,5))))</f>
        <v>30</v>
      </c>
      <c r="L18" s="13" t="n">
        <f aca="false">IF(OR(J18="",K18=""),"",J18-K18)</f>
        <v>-13.1</v>
      </c>
      <c r="M18" s="13" t="n">
        <f aca="false">IF(OR(H18="",F18="",G18=""),"",H18-G18-F18-H18*$B$3+IF(L18="",0,L18))</f>
        <v>18.71</v>
      </c>
      <c r="N18" s="12" t="n">
        <f aca="false">IF(OR(M18="",H18=0,H18=""),"",M18/H18)</f>
        <v>0.199254526091587</v>
      </c>
      <c r="O18" s="22" t="str">
        <f aca="false">IF(N18="","",IF(N18&lt;0,"PREJUÍZO",IF(N18&lt;0.1,"CRÍTICO (&lt;10%)",IF(N18&lt;0.15,"ABAIXO DA META (10-15%)",IF(N18&lt;=0.2,"DENTRO DA META (15-20%)","ACIMA DA META (&gt;20%)")))))</f>
        <v>DENTRO DA META (15-20%)</v>
      </c>
      <c r="P18" s="23"/>
    </row>
    <row r="19" customFormat="false" ht="15" hidden="true" customHeight="true" outlineLevel="0" collapsed="false">
      <c r="A19" s="19" t="s">
        <v>34</v>
      </c>
      <c r="B19" s="19" t="s">
        <v>96</v>
      </c>
      <c r="C19" s="19" t="s">
        <v>97</v>
      </c>
      <c r="D19" s="20" t="n">
        <v>104.9</v>
      </c>
      <c r="E19" s="21" t="n">
        <v>0</v>
      </c>
      <c r="F19" s="20" t="n">
        <v>48.18</v>
      </c>
      <c r="G19" s="13" t="n">
        <v>14.26</v>
      </c>
      <c r="H19" s="13" t="n">
        <f aca="false">IF(D19="","",D19*(1-E19))</f>
        <v>104.9</v>
      </c>
      <c r="I19" s="12" t="n">
        <f aca="false">IF(OR(G19="",H19=""),"",G19/H19)</f>
        <v>0.135938989513823</v>
      </c>
      <c r="J19" s="13" t="n">
        <f aca="false">IF(OR(B19="",C19=""),"",INDEX(Ref_Frete!$B$2:$G$54,MATCH(C19,Ref_Frete!$A$2:$A$54,0),IF(B19="Pequenos",2,IF(B19="Medios",4,6))))</f>
        <v>24.9</v>
      </c>
      <c r="K19" s="13" t="n">
        <f aca="false">IF(OR(B19="",C19=""),"",INDEX(Ref_Frete!$B$2:$G$54,MATCH(C19,Ref_Frete!$A$2:$A$54,0),IF(B19="Pequenos",1,IF(B19="Medios",3,5))))</f>
        <v>46.5</v>
      </c>
      <c r="L19" s="13" t="n">
        <f aca="false">IF(OR(J19="",K19=""),"",J19-K19)</f>
        <v>-21.6</v>
      </c>
      <c r="M19" s="13" t="n">
        <f aca="false">IF(OR(H19="",F19="",G19=""),"",H19-G19-F19-H19*$B$3+IF(L19="",0,L19))</f>
        <v>10.37</v>
      </c>
      <c r="N19" s="12" t="n">
        <f aca="false">IF(OR(M19="",H19=0,H19=""),"",M19/H19)</f>
        <v>0.0988560533841754</v>
      </c>
      <c r="O19" s="22" t="str">
        <f aca="false">IF(N19="","",IF(N19&lt;0,"PREJUÍZO",IF(N19&lt;0.1,"CRÍTICO (&lt;10%)",IF(N19&lt;0.15,"ABAIXO DA META (10-15%)",IF(N19&lt;=0.2,"DENTRO DA META (15-20%)","ACIMA DA META (&gt;20%)")))))</f>
        <v>CRÍTICO (&lt;10%)</v>
      </c>
      <c r="P19" s="23"/>
    </row>
    <row r="20" customFormat="false" ht="15" hidden="true" customHeight="true" outlineLevel="0" collapsed="false">
      <c r="A20" s="19" t="s">
        <v>34</v>
      </c>
      <c r="B20" s="19" t="s">
        <v>96</v>
      </c>
      <c r="C20" s="19" t="s">
        <v>98</v>
      </c>
      <c r="D20" s="20" t="n">
        <v>104.9</v>
      </c>
      <c r="E20" s="21" t="n">
        <v>0</v>
      </c>
      <c r="F20" s="20" t="n">
        <v>48.18</v>
      </c>
      <c r="G20" s="13" t="n">
        <v>14.26</v>
      </c>
      <c r="H20" s="13" t="n">
        <f aca="false">IF(D20="","",D20*(1-E20))</f>
        <v>104.9</v>
      </c>
      <c r="I20" s="12" t="n">
        <f aca="false">IF(OR(G20="",H20=""),"",G20/H20)</f>
        <v>0.135938989513823</v>
      </c>
      <c r="J20" s="13" t="n">
        <f aca="false">IF(OR(B20="",C20=""),"",INDEX(Ref_Frete!$B$2:$G$54,MATCH(C20,Ref_Frete!$A$2:$A$54,0),IF(B20="Pequenos",2,IF(B20="Medios",4,6))))</f>
        <v>16.9</v>
      </c>
      <c r="K20" s="13" t="n">
        <f aca="false">IF(OR(B20="",C20=""),"",INDEX(Ref_Frete!$B$2:$G$54,MATCH(C20,Ref_Frete!$A$2:$A$54,0),IF(B20="Pequenos",1,IF(B20="Medios",3,5))))</f>
        <v>30</v>
      </c>
      <c r="L20" s="13" t="n">
        <f aca="false">IF(OR(J20="",K20=""),"",J20-K20)</f>
        <v>-13.1</v>
      </c>
      <c r="M20" s="13" t="n">
        <f aca="false">IF(OR(H20="",F20="",G20=""),"",H20-G20-F20-H20*$B$3+IF(L20="",0,L20))</f>
        <v>18.87</v>
      </c>
      <c r="N20" s="12" t="n">
        <f aca="false">IF(OR(M20="",H20=0,H20=""),"",M20/H20)</f>
        <v>0.179885605338418</v>
      </c>
      <c r="O20" s="22" t="str">
        <f aca="false">IF(N20="","",IF(N20&lt;0,"PREJUÍZO",IF(N20&lt;0.1,"CRÍTICO (&lt;10%)",IF(N20&lt;0.15,"ABAIXO DA META (10-15%)",IF(N20&lt;=0.2,"DENTRO DA META (15-20%)","ACIMA DA META (&gt;20%)")))))</f>
        <v>DENTRO DA META (15-20%)</v>
      </c>
      <c r="P20" s="23"/>
    </row>
    <row r="21" customFormat="false" ht="15" hidden="true" customHeight="true" outlineLevel="0" collapsed="false">
      <c r="A21" s="19" t="s">
        <v>104</v>
      </c>
      <c r="B21" s="19" t="s">
        <v>96</v>
      </c>
      <c r="C21" s="19" t="s">
        <v>97</v>
      </c>
      <c r="D21" s="20" t="n">
        <v>129.9</v>
      </c>
      <c r="E21" s="21" t="n">
        <v>0</v>
      </c>
      <c r="F21" s="20" t="n">
        <v>60.62</v>
      </c>
      <c r="G21" s="13" t="n">
        <v>17.22</v>
      </c>
      <c r="H21" s="13" t="n">
        <f aca="false">IF(D21="","",D21*(1-E21))</f>
        <v>129.9</v>
      </c>
      <c r="I21" s="12" t="n">
        <f aca="false">IF(OR(G21="",H21=""),"",G21/H21)</f>
        <v>0.13256351039261</v>
      </c>
      <c r="J21" s="13" t="n">
        <f aca="false">IF(OR(B21="",C21=""),"",INDEX(Ref_Frete!$B$2:$G$54,MATCH(C21,Ref_Frete!$A$2:$A$54,0),IF(B21="Pequenos",2,IF(B21="Medios",4,6))))</f>
        <v>24.9</v>
      </c>
      <c r="K21" s="13" t="n">
        <f aca="false">IF(OR(B21="",C21=""),"",INDEX(Ref_Frete!$B$2:$G$54,MATCH(C21,Ref_Frete!$A$2:$A$54,0),IF(B21="Pequenos",1,IF(B21="Medios",3,5))))</f>
        <v>46.5</v>
      </c>
      <c r="L21" s="13" t="n">
        <f aca="false">IF(OR(J21="",K21=""),"",J21-K21)</f>
        <v>-21.6</v>
      </c>
      <c r="M21" s="13" t="n">
        <f aca="false">IF(OR(H21="",F21="",G21=""),"",H21-G21-F21-H21*$B$3+IF(L21="",0,L21))</f>
        <v>17.47</v>
      </c>
      <c r="N21" s="12" t="n">
        <f aca="false">IF(OR(M21="",H21=0,H21=""),"",M21/H21)</f>
        <v>0.134488067744419</v>
      </c>
      <c r="O21" s="22" t="str">
        <f aca="false">IF(N21="","",IF(N21&lt;0,"PREJUÍZO",IF(N21&lt;0.1,"CRÍTICO (&lt;10%)",IF(N21&lt;0.15,"ABAIXO DA META (10-15%)",IF(N21&lt;=0.2,"DENTRO DA META (15-20%)","ACIMA DA META (&gt;20%)")))))</f>
        <v>ABAIXO DA META (10-15%)</v>
      </c>
      <c r="P21" s="23"/>
    </row>
    <row r="22" customFormat="false" ht="15" hidden="false" customHeight="true" outlineLevel="0" collapsed="false">
      <c r="A22" s="19" t="s">
        <v>104</v>
      </c>
      <c r="B22" s="19" t="s">
        <v>96</v>
      </c>
      <c r="C22" s="19" t="s">
        <v>98</v>
      </c>
      <c r="D22" s="20" t="n">
        <v>129.9</v>
      </c>
      <c r="E22" s="21" t="n">
        <v>0</v>
      </c>
      <c r="F22" s="20" t="n">
        <v>60.62</v>
      </c>
      <c r="G22" s="13" t="n">
        <v>17.22</v>
      </c>
      <c r="H22" s="13" t="n">
        <f aca="false">IF(D22="","",D22*(1-E22))</f>
        <v>129.9</v>
      </c>
      <c r="I22" s="12" t="n">
        <f aca="false">IF(OR(G22="",H22=""),"",G22/H22)</f>
        <v>0.13256351039261</v>
      </c>
      <c r="J22" s="13" t="n">
        <f aca="false">IF(OR(B22="",C22=""),"",INDEX(Ref_Frete!$B$2:$G$54,MATCH(C22,Ref_Frete!$A$2:$A$54,0),IF(B22="Pequenos",2,IF(B22="Medios",4,6))))</f>
        <v>16.9</v>
      </c>
      <c r="K22" s="13" t="n">
        <f aca="false">IF(OR(B22="",C22=""),"",INDEX(Ref_Frete!$B$2:$G$54,MATCH(C22,Ref_Frete!$A$2:$A$54,0),IF(B22="Pequenos",1,IF(B22="Medios",3,5))))</f>
        <v>30</v>
      </c>
      <c r="L22" s="13" t="n">
        <f aca="false">IF(OR(J22="",K22=""),"",J22-K22)</f>
        <v>-13.1</v>
      </c>
      <c r="M22" s="13" t="n">
        <f aca="false">IF(OR(H22="",F22="",G22=""),"",H22-G22-F22-H22*$B$3+IF(L22="",0,L22))</f>
        <v>25.97</v>
      </c>
      <c r="N22" s="12" t="n">
        <f aca="false">IF(OR(M22="",H22=0,H22=""),"",M22/H22)</f>
        <v>0.199923017705928</v>
      </c>
      <c r="O22" s="22" t="str">
        <f aca="false">IF(N22="","",IF(N22&lt;0,"PREJUÍZO",IF(N22&lt;0.1,"CRÍTICO (&lt;10%)",IF(N22&lt;0.15,"ABAIXO DA META (10-15%)",IF(N22&lt;=0.2,"DENTRO DA META (15-20%)","ACIMA DA META (&gt;20%)")))))</f>
        <v>DENTRO DA META (15-20%)</v>
      </c>
      <c r="P22" s="23"/>
    </row>
    <row r="23" customFormat="false" ht="15" hidden="true" customHeight="true" outlineLevel="0" collapsed="false">
      <c r="A23" s="19" t="s">
        <v>37</v>
      </c>
      <c r="B23" s="19" t="s">
        <v>96</v>
      </c>
      <c r="C23" s="19" t="s">
        <v>97</v>
      </c>
      <c r="D23" s="20" t="n">
        <v>116</v>
      </c>
      <c r="E23" s="21" t="n">
        <v>0</v>
      </c>
      <c r="F23" s="20" t="n">
        <v>54.47</v>
      </c>
      <c r="G23" s="13" t="n">
        <v>15.47</v>
      </c>
      <c r="H23" s="13" t="n">
        <f aca="false">IF(D23="","",D23*(1-E23))</f>
        <v>116</v>
      </c>
      <c r="I23" s="12" t="n">
        <f aca="false">IF(OR(G23="",H23=""),"",G23/H23)</f>
        <v>0.133362068965517</v>
      </c>
      <c r="J23" s="13" t="n">
        <f aca="false">IF(OR(B23="",C23=""),"",INDEX(Ref_Frete!$B$2:$G$54,MATCH(C23,Ref_Frete!$A$2:$A$54,0),IF(B23="Pequenos",2,IF(B23="Medios",4,6))))</f>
        <v>24.9</v>
      </c>
      <c r="K23" s="13" t="n">
        <f aca="false">IF(OR(B23="",C23=""),"",INDEX(Ref_Frete!$B$2:$G$54,MATCH(C23,Ref_Frete!$A$2:$A$54,0),IF(B23="Pequenos",1,IF(B23="Medios",3,5))))</f>
        <v>46.5</v>
      </c>
      <c r="L23" s="13" t="n">
        <f aca="false">IF(OR(J23="",K23=""),"",J23-K23)</f>
        <v>-21.6</v>
      </c>
      <c r="M23" s="13" t="n">
        <f aca="false">IF(OR(H23="",F23="",G23=""),"",H23-G23-F23-H23*$B$3+IF(L23="",0,L23))</f>
        <v>12.86</v>
      </c>
      <c r="N23" s="12" t="n">
        <f aca="false">IF(OR(M23="",H23=0,H23=""),"",M23/H23)</f>
        <v>0.110862068965517</v>
      </c>
      <c r="O23" s="22" t="str">
        <f aca="false">IF(N23="","",IF(N23&lt;0,"PREJUÍZO",IF(N23&lt;0.1,"CRÍTICO (&lt;10%)",IF(N23&lt;0.15,"ABAIXO DA META (10-15%)",IF(N23&lt;=0.2,"DENTRO DA META (15-20%)","ACIMA DA META (&gt;20%)")))))</f>
        <v>ABAIXO DA META (10-15%)</v>
      </c>
      <c r="P23" s="23"/>
    </row>
    <row r="24" customFormat="false" ht="15" hidden="true" customHeight="true" outlineLevel="0" collapsed="false">
      <c r="A24" s="19" t="s">
        <v>37</v>
      </c>
      <c r="B24" s="19" t="s">
        <v>96</v>
      </c>
      <c r="C24" s="19" t="s">
        <v>98</v>
      </c>
      <c r="D24" s="20" t="n">
        <v>116</v>
      </c>
      <c r="E24" s="21" t="n">
        <v>0</v>
      </c>
      <c r="F24" s="20" t="n">
        <v>54.47</v>
      </c>
      <c r="G24" s="13" t="n">
        <v>15.47</v>
      </c>
      <c r="H24" s="13" t="n">
        <f aca="false">IF(D24="","",D24*(1-E24))</f>
        <v>116</v>
      </c>
      <c r="I24" s="12" t="n">
        <f aca="false">IF(OR(G24="",H24=""),"",G24/H24)</f>
        <v>0.133362068965517</v>
      </c>
      <c r="J24" s="13" t="n">
        <f aca="false">IF(OR(B24="",C24=""),"",INDEX(Ref_Frete!$B$2:$G$54,MATCH(C24,Ref_Frete!$A$2:$A$54,0),IF(B24="Pequenos",2,IF(B24="Medios",4,6))))</f>
        <v>16.9</v>
      </c>
      <c r="K24" s="13" t="n">
        <f aca="false">IF(OR(B24="",C24=""),"",INDEX(Ref_Frete!$B$2:$G$54,MATCH(C24,Ref_Frete!$A$2:$A$54,0),IF(B24="Pequenos",1,IF(B24="Medios",3,5))))</f>
        <v>30</v>
      </c>
      <c r="L24" s="13" t="n">
        <f aca="false">IF(OR(J24="",K24=""),"",J24-K24)</f>
        <v>-13.1</v>
      </c>
      <c r="M24" s="13" t="n">
        <f aca="false">IF(OR(H24="",F24="",G24=""),"",H24-G24-F24-H24*$B$3+IF(L24="",0,L24))</f>
        <v>21.36</v>
      </c>
      <c r="N24" s="12" t="n">
        <f aca="false">IF(OR(M24="",H24=0,H24=""),"",M24/H24)</f>
        <v>0.184137931034483</v>
      </c>
      <c r="O24" s="22" t="str">
        <f aca="false">IF(N24="","",IF(N24&lt;0,"PREJUÍZO",IF(N24&lt;0.1,"CRÍTICO (&lt;10%)",IF(N24&lt;0.15,"ABAIXO DA META (10-15%)",IF(N24&lt;=0.2,"DENTRO DA META (15-20%)","ACIMA DA META (&gt;20%)")))))</f>
        <v>DENTRO DA META (15-20%)</v>
      </c>
      <c r="P24" s="23"/>
    </row>
    <row r="25" customFormat="false" ht="15" hidden="true" customHeight="true" outlineLevel="0" collapsed="false">
      <c r="A25" s="19" t="s">
        <v>47</v>
      </c>
      <c r="B25" s="19" t="s">
        <v>96</v>
      </c>
      <c r="C25" s="19" t="s">
        <v>97</v>
      </c>
      <c r="D25" s="20" t="n">
        <v>109.9</v>
      </c>
      <c r="E25" s="21" t="n">
        <v>0</v>
      </c>
      <c r="F25" s="20" t="n">
        <v>49.15</v>
      </c>
      <c r="G25" s="13" t="n">
        <v>14.81</v>
      </c>
      <c r="H25" s="13" t="n">
        <f aca="false">IF(D25="","",D25*(1-E25))</f>
        <v>109.9</v>
      </c>
      <c r="I25" s="12" t="n">
        <f aca="false">IF(OR(G25="",H25=""),"",G25/H25)</f>
        <v>0.134758871701547</v>
      </c>
      <c r="J25" s="13" t="n">
        <f aca="false">IF(OR(B25="",C25=""),"",INDEX(Ref_Frete!$B$2:$G$54,MATCH(C25,Ref_Frete!$A$2:$A$54,0),IF(B25="Pequenos",2,IF(B25="Medios",4,6))))</f>
        <v>24.9</v>
      </c>
      <c r="K25" s="13" t="n">
        <f aca="false">IF(OR(B25="",C25=""),"",INDEX(Ref_Frete!$B$2:$G$54,MATCH(C25,Ref_Frete!$A$2:$A$54,0),IF(B25="Pequenos",1,IF(B25="Medios",3,5))))</f>
        <v>46.5</v>
      </c>
      <c r="L25" s="13" t="n">
        <f aca="false">IF(OR(J25="",K25=""),"",J25-K25)</f>
        <v>-21.6</v>
      </c>
      <c r="M25" s="13" t="n">
        <f aca="false">IF(OR(H25="",F25="",G25=""),"",H25-G25-F25-H25*$B$3+IF(L25="",0,L25))</f>
        <v>13.35</v>
      </c>
      <c r="N25" s="12" t="n">
        <f aca="false">IF(OR(M25="",H25=0,H25=""),"",M25/H25)</f>
        <v>0.12147406733394</v>
      </c>
      <c r="O25" s="22" t="str">
        <f aca="false">IF(N25="","",IF(N25&lt;0,"PREJUÍZO",IF(N25&lt;0.1,"CRÍTICO (&lt;10%)",IF(N25&lt;0.15,"ABAIXO DA META (10-15%)",IF(N25&lt;=0.2,"DENTRO DA META (15-20%)","ACIMA DA META (&gt;20%)")))))</f>
        <v>ABAIXO DA META (10-15%)</v>
      </c>
      <c r="P25" s="23"/>
    </row>
    <row r="26" customFormat="false" ht="15" hidden="false" customHeight="true" outlineLevel="0" collapsed="false">
      <c r="A26" s="19" t="s">
        <v>47</v>
      </c>
      <c r="B26" s="19" t="s">
        <v>96</v>
      </c>
      <c r="C26" s="19" t="s">
        <v>98</v>
      </c>
      <c r="D26" s="20" t="n">
        <v>109.9</v>
      </c>
      <c r="E26" s="21" t="n">
        <v>0</v>
      </c>
      <c r="F26" s="20" t="n">
        <v>49.15</v>
      </c>
      <c r="G26" s="13" t="n">
        <v>14.81</v>
      </c>
      <c r="H26" s="13" t="n">
        <f aca="false">IF(D26="","",D26*(1-E26))</f>
        <v>109.9</v>
      </c>
      <c r="I26" s="12" t="n">
        <f aca="false">IF(OR(G26="",H26=""),"",G26/H26)</f>
        <v>0.134758871701547</v>
      </c>
      <c r="J26" s="13" t="n">
        <f aca="false">IF(OR(B26="",C26=""),"",INDEX(Ref_Frete!$B$2:$G$54,MATCH(C26,Ref_Frete!$A$2:$A$54,0),IF(B26="Pequenos",2,IF(B26="Medios",4,6))))</f>
        <v>16.9</v>
      </c>
      <c r="K26" s="13" t="n">
        <f aca="false">IF(OR(B26="",C26=""),"",INDEX(Ref_Frete!$B$2:$G$54,MATCH(C26,Ref_Frete!$A$2:$A$54,0),IF(B26="Pequenos",1,IF(B26="Medios",3,5))))</f>
        <v>30</v>
      </c>
      <c r="L26" s="13" t="n">
        <f aca="false">IF(OR(J26="",K26=""),"",J26-K26)</f>
        <v>-13.1</v>
      </c>
      <c r="M26" s="13" t="n">
        <f aca="false">IF(OR(H26="",F26="",G26=""),"",H26-G26-F26-H26*$B$3+IF(L26="",0,L26))</f>
        <v>21.85</v>
      </c>
      <c r="N26" s="12" t="n">
        <f aca="false">IF(OR(M26="",H26=0,H26=""),"",M26/H26)</f>
        <v>0.198817106460419</v>
      </c>
      <c r="O26" s="22" t="str">
        <f aca="false">IF(N26="","",IF(N26&lt;0,"PREJUÍZO",IF(N26&lt;0.1,"CRÍTICO (&lt;10%)",IF(N26&lt;0.15,"ABAIXO DA META (10-15%)",IF(N26&lt;=0.2,"DENTRO DA META (15-20%)","ACIMA DA META (&gt;20%)")))))</f>
        <v>DENTRO DA META (15-20%)</v>
      </c>
      <c r="P26" s="23"/>
    </row>
    <row r="27" customFormat="false" ht="15" hidden="true" customHeight="true" outlineLevel="0" collapsed="false">
      <c r="A27" s="19" t="s">
        <v>48</v>
      </c>
      <c r="B27" s="19" t="s">
        <v>96</v>
      </c>
      <c r="C27" s="19" t="s">
        <v>97</v>
      </c>
      <c r="D27" s="20" t="n">
        <v>120.9</v>
      </c>
      <c r="E27" s="21" t="n">
        <v>0</v>
      </c>
      <c r="F27" s="20" t="n">
        <v>55.75</v>
      </c>
      <c r="G27" s="13" t="n">
        <v>16.14</v>
      </c>
      <c r="H27" s="13" t="n">
        <f aca="false">IF(D27="","",D27*(1-E27))</f>
        <v>120.9</v>
      </c>
      <c r="I27" s="12" t="n">
        <f aca="false">IF(OR(G27="",H27=""),"",G27/H27)</f>
        <v>0.133498759305211</v>
      </c>
      <c r="J27" s="13" t="n">
        <f aca="false">IF(OR(B27="",C27=""),"",INDEX(Ref_Frete!$B$2:$G$54,MATCH(C27,Ref_Frete!$A$2:$A$54,0),IF(B27="Pequenos",2,IF(B27="Medios",4,6))))</f>
        <v>24.9</v>
      </c>
      <c r="K27" s="13" t="n">
        <f aca="false">IF(OR(B27="",C27=""),"",INDEX(Ref_Frete!$B$2:$G$54,MATCH(C27,Ref_Frete!$A$2:$A$54,0),IF(B27="Pequenos",1,IF(B27="Medios",3,5))))</f>
        <v>46.5</v>
      </c>
      <c r="L27" s="13" t="n">
        <f aca="false">IF(OR(J27="",K27=""),"",J27-K27)</f>
        <v>-21.6</v>
      </c>
      <c r="M27" s="13" t="n">
        <f aca="false">IF(OR(H27="",F27="",G27=""),"",H27-G27-F27-H27*$B$3+IF(L27="",0,L27))</f>
        <v>15.32</v>
      </c>
      <c r="N27" s="12" t="n">
        <f aca="false">IF(OR(M27="",H27=0,H27=""),"",M27/H27)</f>
        <v>0.12671629445823</v>
      </c>
      <c r="O27" s="22" t="str">
        <f aca="false">IF(N27="","",IF(N27&lt;0,"PREJUÍZO",IF(N27&lt;0.1,"CRÍTICO (&lt;10%)",IF(N27&lt;0.15,"ABAIXO DA META (10-15%)",IF(N27&lt;=0.2,"DENTRO DA META (15-20%)","ACIMA DA META (&gt;20%)")))))</f>
        <v>ABAIXO DA META (10-15%)</v>
      </c>
      <c r="P27" s="23"/>
    </row>
    <row r="28" customFormat="false" ht="15" hidden="false" customHeight="true" outlineLevel="0" collapsed="false">
      <c r="A28" s="19" t="s">
        <v>48</v>
      </c>
      <c r="B28" s="19" t="s">
        <v>96</v>
      </c>
      <c r="C28" s="19" t="s">
        <v>98</v>
      </c>
      <c r="D28" s="20" t="n">
        <v>120.9</v>
      </c>
      <c r="E28" s="21" t="n">
        <v>0</v>
      </c>
      <c r="F28" s="20" t="n">
        <v>55.75</v>
      </c>
      <c r="G28" s="13" t="n">
        <v>16.14</v>
      </c>
      <c r="H28" s="13" t="n">
        <f aca="false">IF(D28="","",D28*(1-E28))</f>
        <v>120.9</v>
      </c>
      <c r="I28" s="12" t="n">
        <f aca="false">IF(OR(G28="",H28=""),"",G28/H28)</f>
        <v>0.133498759305211</v>
      </c>
      <c r="J28" s="13" t="n">
        <f aca="false">IF(OR(B28="",C28=""),"",INDEX(Ref_Frete!$B$2:$G$54,MATCH(C28,Ref_Frete!$A$2:$A$54,0),IF(B28="Pequenos",2,IF(B28="Medios",4,6))))</f>
        <v>16.9</v>
      </c>
      <c r="K28" s="13" t="n">
        <f aca="false">IF(OR(B28="",C28=""),"",INDEX(Ref_Frete!$B$2:$G$54,MATCH(C28,Ref_Frete!$A$2:$A$54,0),IF(B28="Pequenos",1,IF(B28="Medios",3,5))))</f>
        <v>30</v>
      </c>
      <c r="L28" s="13" t="n">
        <f aca="false">IF(OR(J28="",K28=""),"",J28-K28)</f>
        <v>-13.1</v>
      </c>
      <c r="M28" s="13" t="n">
        <f aca="false">IF(OR(H28="",F28="",G28=""),"",H28-G28-F28-H28*$B$3+IF(L28="",0,L28))</f>
        <v>23.82</v>
      </c>
      <c r="N28" s="12" t="n">
        <f aca="false">IF(OR(M28="",H28=0,H28=""),"",M28/H28)</f>
        <v>0.197022332506203</v>
      </c>
      <c r="O28" s="22" t="str">
        <f aca="false">IF(N28="","",IF(N28&lt;0,"PREJUÍZO",IF(N28&lt;0.1,"CRÍTICO (&lt;10%)",IF(N28&lt;0.15,"ABAIXO DA META (10-15%)",IF(N28&lt;=0.2,"DENTRO DA META (15-20%)","ACIMA DA META (&gt;20%)")))))</f>
        <v>DENTRO DA META (15-20%)</v>
      </c>
      <c r="P28" s="23"/>
    </row>
    <row r="29" customFormat="false" ht="15" hidden="true" customHeight="true" outlineLevel="0" collapsed="false">
      <c r="A29" s="19" t="s">
        <v>105</v>
      </c>
      <c r="B29" s="19" t="s">
        <v>96</v>
      </c>
      <c r="C29" s="19" t="s">
        <v>97</v>
      </c>
      <c r="D29" s="20" t="n">
        <v>137.9</v>
      </c>
      <c r="E29" s="21" t="n">
        <v>0</v>
      </c>
      <c r="F29" s="20" t="n">
        <v>65.95</v>
      </c>
      <c r="G29" s="13" t="n">
        <v>18.18</v>
      </c>
      <c r="H29" s="13" t="n">
        <f aca="false">IF(D29="","",D29*(1-E29))</f>
        <v>137.9</v>
      </c>
      <c r="I29" s="12" t="n">
        <f aca="false">IF(OR(G29="",H29=""),"",G29/H29)</f>
        <v>0.13183466279913</v>
      </c>
      <c r="J29" s="13" t="n">
        <f aca="false">IF(OR(B29="",C29=""),"",INDEX(Ref_Frete!$B$2:$G$54,MATCH(C29,Ref_Frete!$A$2:$A$54,0),IF(B29="Pequenos",2,IF(B29="Medios",4,6))))</f>
        <v>24.9</v>
      </c>
      <c r="K29" s="13" t="n">
        <f aca="false">IF(OR(B29="",C29=""),"",INDEX(Ref_Frete!$B$2:$G$54,MATCH(C29,Ref_Frete!$A$2:$A$54,0),IF(B29="Pequenos",1,IF(B29="Medios",3,5))))</f>
        <v>46.5</v>
      </c>
      <c r="L29" s="13" t="n">
        <f aca="false">IF(OR(J29="",K29=""),"",J29-K29)</f>
        <v>-21.6</v>
      </c>
      <c r="M29" s="13" t="n">
        <f aca="false">IF(OR(H29="",F29="",G29=""),"",H29-G29-F29-H29*$B$3+IF(L29="",0,L29))</f>
        <v>18.38</v>
      </c>
      <c r="N29" s="12" t="n">
        <f aca="false">IF(OR(M29="",H29=0,H29=""),"",M29/H29)</f>
        <v>0.133284989122553</v>
      </c>
      <c r="O29" s="22" t="str">
        <f aca="false">IF(N29="","",IF(N29&lt;0,"PREJUÍZO",IF(N29&lt;0.1,"CRÍTICO (&lt;10%)",IF(N29&lt;0.15,"ABAIXO DA META (10-15%)",IF(N29&lt;=0.2,"DENTRO DA META (15-20%)","ACIMA DA META (&gt;20%)")))))</f>
        <v>ABAIXO DA META (10-15%)</v>
      </c>
      <c r="P29" s="23"/>
    </row>
    <row r="30" customFormat="false" ht="15" hidden="false" customHeight="true" outlineLevel="0" collapsed="false">
      <c r="A30" s="19" t="s">
        <v>105</v>
      </c>
      <c r="B30" s="19" t="s">
        <v>96</v>
      </c>
      <c r="C30" s="19" t="s">
        <v>98</v>
      </c>
      <c r="D30" s="20" t="n">
        <v>137.9</v>
      </c>
      <c r="E30" s="21" t="n">
        <v>0</v>
      </c>
      <c r="F30" s="20" t="n">
        <v>65.95</v>
      </c>
      <c r="G30" s="13" t="n">
        <v>18.18</v>
      </c>
      <c r="H30" s="13" t="n">
        <f aca="false">IF(D30="","",D30*(1-E30))</f>
        <v>137.9</v>
      </c>
      <c r="I30" s="12" t="n">
        <f aca="false">IF(OR(G30="",H30=""),"",G30/H30)</f>
        <v>0.13183466279913</v>
      </c>
      <c r="J30" s="13" t="n">
        <f aca="false">IF(OR(B30="",C30=""),"",INDEX(Ref_Frete!$B$2:$G$54,MATCH(C30,Ref_Frete!$A$2:$A$54,0),IF(B30="Pequenos",2,IF(B30="Medios",4,6))))</f>
        <v>16.9</v>
      </c>
      <c r="K30" s="13" t="n">
        <f aca="false">IF(OR(B30="",C30=""),"",INDEX(Ref_Frete!$B$2:$G$54,MATCH(C30,Ref_Frete!$A$2:$A$54,0),IF(B30="Pequenos",1,IF(B30="Medios",3,5))))</f>
        <v>30</v>
      </c>
      <c r="L30" s="13" t="n">
        <f aca="false">IF(OR(J30="",K30=""),"",J30-K30)</f>
        <v>-13.1</v>
      </c>
      <c r="M30" s="13" t="n">
        <f aca="false">IF(OR(H30="",F30="",G30=""),"",H30-G30-F30-H30*$B$3+IF(L30="",0,L30))</f>
        <v>26.88</v>
      </c>
      <c r="N30" s="12" t="n">
        <f aca="false">IF(OR(M30="",H30=0,H30=""),"",M30/H30)</f>
        <v>0.19492385786802</v>
      </c>
      <c r="O30" s="22" t="str">
        <f aca="false">IF(N30="","",IF(N30&lt;0,"PREJUÍZO",IF(N30&lt;0.1,"CRÍTICO (&lt;10%)",IF(N30&lt;0.15,"ABAIXO DA META (10-15%)",IF(N30&lt;=0.2,"DENTRO DA META (15-20%)","ACIMA DA META (&gt;20%)")))))</f>
        <v>DENTRO DA META (15-20%)</v>
      </c>
      <c r="P30" s="23"/>
    </row>
    <row r="31" customFormat="false" ht="15" hidden="true" customHeight="true" outlineLevel="0" collapsed="false">
      <c r="A31" s="19" t="s">
        <v>33</v>
      </c>
      <c r="B31" s="19" t="s">
        <v>96</v>
      </c>
      <c r="C31" s="19" t="s">
        <v>97</v>
      </c>
      <c r="D31" s="20" t="n">
        <v>123.93</v>
      </c>
      <c r="E31" s="21" t="n">
        <v>0</v>
      </c>
      <c r="F31" s="20" t="n">
        <v>59.8</v>
      </c>
      <c r="G31" s="13" t="n">
        <v>16.42</v>
      </c>
      <c r="H31" s="13" t="n">
        <f aca="false">IF(D31="","",D31*(1-E31))</f>
        <v>123.93</v>
      </c>
      <c r="I31" s="12" t="n">
        <f aca="false">IF(OR(G31="",H31=""),"",G31/H31)</f>
        <v>0.132494149923344</v>
      </c>
      <c r="J31" s="13" t="n">
        <f aca="false">IF(OR(B31="",C31=""),"",INDEX(Ref_Frete!$B$2:$G$54,MATCH(C31,Ref_Frete!$A$2:$A$54,0),IF(B31="Pequenos",2,IF(B31="Medios",4,6))))</f>
        <v>24.9</v>
      </c>
      <c r="K31" s="13" t="n">
        <f aca="false">IF(OR(B31="",C31=""),"",INDEX(Ref_Frete!$B$2:$G$54,MATCH(C31,Ref_Frete!$A$2:$A$54,0),IF(B31="Pequenos",1,IF(B31="Medios",3,5))))</f>
        <v>46.5</v>
      </c>
      <c r="L31" s="13" t="n">
        <f aca="false">IF(OR(J31="",K31=""),"",J31-K31)</f>
        <v>-21.6</v>
      </c>
      <c r="M31" s="13" t="n">
        <f aca="false">IF(OR(H31="",F31="",G31=""),"",H31-G31-F31-H31*$B$3+IF(L31="",0,L31))</f>
        <v>13.717</v>
      </c>
      <c r="N31" s="12" t="n">
        <f aca="false">IF(OR(M31="",H31=0,H31=""),"",M31/H31)</f>
        <v>0.110683450334867</v>
      </c>
      <c r="O31" s="22" t="str">
        <f aca="false">IF(N31="","",IF(N31&lt;0,"PREJUÍZO",IF(N31&lt;0.1,"CRÍTICO (&lt;10%)",IF(N31&lt;0.15,"ABAIXO DA META (10-15%)",IF(N31&lt;=0.2,"DENTRO DA META (15-20%)","ACIMA DA META (&gt;20%)")))))</f>
        <v>ABAIXO DA META (10-15%)</v>
      </c>
      <c r="P31" s="23"/>
    </row>
    <row r="32" customFormat="false" ht="15" hidden="true" customHeight="true" outlineLevel="0" collapsed="false">
      <c r="A32" s="19" t="s">
        <v>33</v>
      </c>
      <c r="B32" s="19" t="s">
        <v>96</v>
      </c>
      <c r="C32" s="19" t="s">
        <v>98</v>
      </c>
      <c r="D32" s="20" t="n">
        <v>123.93</v>
      </c>
      <c r="E32" s="21" t="n">
        <v>0</v>
      </c>
      <c r="F32" s="20" t="n">
        <v>59.8</v>
      </c>
      <c r="G32" s="13" t="n">
        <v>16.42</v>
      </c>
      <c r="H32" s="13" t="n">
        <f aca="false">IF(D32="","",D32*(1-E32))</f>
        <v>123.93</v>
      </c>
      <c r="I32" s="12" t="n">
        <f aca="false">IF(OR(G32="",H32=""),"",G32/H32)</f>
        <v>0.132494149923344</v>
      </c>
      <c r="J32" s="13" t="n">
        <f aca="false">IF(OR(B32="",C32=""),"",INDEX(Ref_Frete!$B$2:$G$54,MATCH(C32,Ref_Frete!$A$2:$A$54,0),IF(B32="Pequenos",2,IF(B32="Medios",4,6))))</f>
        <v>16.9</v>
      </c>
      <c r="K32" s="13" t="n">
        <f aca="false">IF(OR(B32="",C32=""),"",INDEX(Ref_Frete!$B$2:$G$54,MATCH(C32,Ref_Frete!$A$2:$A$54,0),IF(B32="Pequenos",1,IF(B32="Medios",3,5))))</f>
        <v>30</v>
      </c>
      <c r="L32" s="13" t="n">
        <f aca="false">IF(OR(J32="",K32=""),"",J32-K32)</f>
        <v>-13.1</v>
      </c>
      <c r="M32" s="13" t="n">
        <f aca="false">IF(OR(H32="",F32="",G32=""),"",H32-G32-F32-H32*$B$3+IF(L32="",0,L32))</f>
        <v>22.217</v>
      </c>
      <c r="N32" s="12" t="n">
        <f aca="false">IF(OR(M32="",H32=0,H32=""),"",M32/H32)</f>
        <v>0.179270555959009</v>
      </c>
      <c r="O32" s="22" t="str">
        <f aca="false">IF(N32="","",IF(N32&lt;0,"PREJUÍZO",IF(N32&lt;0.1,"CRÍTICO (&lt;10%)",IF(N32&lt;0.15,"ABAIXO DA META (10-15%)",IF(N32&lt;=0.2,"DENTRO DA META (15-20%)","ACIMA DA META (&gt;20%)")))))</f>
        <v>DENTRO DA META (15-20%)</v>
      </c>
      <c r="P32" s="23"/>
    </row>
    <row r="33" customFormat="false" ht="15" hidden="true" customHeight="true" outlineLevel="0" collapsed="false">
      <c r="A33" s="19" t="s">
        <v>45</v>
      </c>
      <c r="B33" s="19" t="s">
        <v>96</v>
      </c>
      <c r="C33" s="19" t="s">
        <v>97</v>
      </c>
      <c r="D33" s="20" t="n">
        <v>113.11</v>
      </c>
      <c r="E33" s="21" t="n">
        <v>0</v>
      </c>
      <c r="F33" s="20" t="n">
        <v>51.82</v>
      </c>
      <c r="G33" s="13" t="n">
        <v>15.12</v>
      </c>
      <c r="H33" s="13" t="n">
        <f aca="false">IF(D33="","",D33*(1-E33))</f>
        <v>113.11</v>
      </c>
      <c r="I33" s="12" t="n">
        <f aca="false">IF(OR(G33="",H33=""),"",G33/H33)</f>
        <v>0.133675183449739</v>
      </c>
      <c r="J33" s="13" t="n">
        <f aca="false">IF(OR(B33="",C33=""),"",INDEX(Ref_Frete!$B$2:$G$54,MATCH(C33,Ref_Frete!$A$2:$A$54,0),IF(B33="Pequenos",2,IF(B33="Medios",4,6))))</f>
        <v>24.9</v>
      </c>
      <c r="K33" s="13" t="n">
        <f aca="false">IF(OR(B33="",C33=""),"",INDEX(Ref_Frete!$B$2:$G$54,MATCH(C33,Ref_Frete!$A$2:$A$54,0),IF(B33="Pequenos",1,IF(B33="Medios",3,5))))</f>
        <v>46.5</v>
      </c>
      <c r="L33" s="13" t="n">
        <f aca="false">IF(OR(J33="",K33=""),"",J33-K33)</f>
        <v>-21.6</v>
      </c>
      <c r="M33" s="13" t="n">
        <f aca="false">IF(OR(H33="",F33="",G33=""),"",H33-G33-F33-H33*$B$3+IF(L33="",0,L33))</f>
        <v>13.259</v>
      </c>
      <c r="N33" s="12" t="n">
        <f aca="false">IF(OR(M33="",H33=0,H33=""),"",M33/H33)</f>
        <v>0.117222173105826</v>
      </c>
      <c r="O33" s="22" t="str">
        <f aca="false">IF(N33="","",IF(N33&lt;0,"PREJUÍZO",IF(N33&lt;0.1,"CRÍTICO (&lt;10%)",IF(N33&lt;0.15,"ABAIXO DA META (10-15%)",IF(N33&lt;=0.2,"DENTRO DA META (15-20%)","ACIMA DA META (&gt;20%)")))))</f>
        <v>ABAIXO DA META (10-15%)</v>
      </c>
      <c r="P33" s="23"/>
    </row>
    <row r="34" customFormat="false" ht="15" hidden="false" customHeight="true" outlineLevel="0" collapsed="false">
      <c r="A34" s="19" t="s">
        <v>45</v>
      </c>
      <c r="B34" s="19" t="s">
        <v>96</v>
      </c>
      <c r="C34" s="19" t="s">
        <v>98</v>
      </c>
      <c r="D34" s="20" t="n">
        <v>113.11</v>
      </c>
      <c r="E34" s="21" t="n">
        <v>0</v>
      </c>
      <c r="F34" s="20" t="n">
        <v>51.82</v>
      </c>
      <c r="G34" s="13" t="n">
        <v>15.12</v>
      </c>
      <c r="H34" s="13" t="n">
        <f aca="false">IF(D34="","",D34*(1-E34))</f>
        <v>113.11</v>
      </c>
      <c r="I34" s="12" t="n">
        <f aca="false">IF(OR(G34="",H34=""),"",G34/H34)</f>
        <v>0.133675183449739</v>
      </c>
      <c r="J34" s="13" t="n">
        <f aca="false">IF(OR(B34="",C34=""),"",INDEX(Ref_Frete!$B$2:$G$54,MATCH(C34,Ref_Frete!$A$2:$A$54,0),IF(B34="Pequenos",2,IF(B34="Medios",4,6))))</f>
        <v>16.9</v>
      </c>
      <c r="K34" s="13" t="n">
        <f aca="false">IF(OR(B34="",C34=""),"",INDEX(Ref_Frete!$B$2:$G$54,MATCH(C34,Ref_Frete!$A$2:$A$54,0),IF(B34="Pequenos",1,IF(B34="Medios",3,5))))</f>
        <v>30</v>
      </c>
      <c r="L34" s="13" t="n">
        <f aca="false">IF(OR(J34="",K34=""),"",J34-K34)</f>
        <v>-13.1</v>
      </c>
      <c r="M34" s="13" t="n">
        <f aca="false">IF(OR(H34="",F34="",G34=""),"",H34-G34-F34-H34*$B$3+IF(L34="",0,L34))</f>
        <v>21.759</v>
      </c>
      <c r="N34" s="12" t="n">
        <f aca="false">IF(OR(M34="",H34=0,H34=""),"",M34/H34)</f>
        <v>0.192370259039873</v>
      </c>
      <c r="O34" s="22" t="str">
        <f aca="false">IF(N34="","",IF(N34&lt;0,"PREJUÍZO",IF(N34&lt;0.1,"CRÍTICO (&lt;10%)",IF(N34&lt;0.15,"ABAIXO DA META (10-15%)",IF(N34&lt;=0.2,"DENTRO DA META (15-20%)","ACIMA DA META (&gt;20%)")))))</f>
        <v>DENTRO DA META (15-20%)</v>
      </c>
      <c r="P34" s="23"/>
    </row>
    <row r="35" customFormat="false" ht="15" hidden="true" customHeight="true" outlineLevel="0" collapsed="false">
      <c r="A35" s="19" t="s">
        <v>49</v>
      </c>
      <c r="B35" s="19" t="s">
        <v>96</v>
      </c>
      <c r="C35" s="19" t="s">
        <v>97</v>
      </c>
      <c r="D35" s="20" t="n">
        <v>127.9</v>
      </c>
      <c r="E35" s="21" t="n">
        <v>0</v>
      </c>
      <c r="F35" s="20" t="n">
        <v>60.21</v>
      </c>
      <c r="G35" s="13" t="n">
        <v>16.96</v>
      </c>
      <c r="H35" s="13" t="n">
        <f aca="false">IF(D35="","",D35*(1-E35))</f>
        <v>127.9</v>
      </c>
      <c r="I35" s="12" t="n">
        <f aca="false">IF(OR(G35="",H35=""),"",G35/H35)</f>
        <v>0.132603596559812</v>
      </c>
      <c r="J35" s="13" t="n">
        <f aca="false">IF(OR(B35="",C35=""),"",INDEX(Ref_Frete!$B$2:$G$54,MATCH(C35,Ref_Frete!$A$2:$A$54,0),IF(B35="Pequenos",2,IF(B35="Medios",4,6))))</f>
        <v>24.9</v>
      </c>
      <c r="K35" s="13" t="n">
        <f aca="false">IF(OR(B35="",C35=""),"",INDEX(Ref_Frete!$B$2:$G$54,MATCH(C35,Ref_Frete!$A$2:$A$54,0),IF(B35="Pequenos",1,IF(B35="Medios",3,5))))</f>
        <v>46.5</v>
      </c>
      <c r="L35" s="13" t="n">
        <f aca="false">IF(OR(J35="",K35=""),"",J35-K35)</f>
        <v>-21.6</v>
      </c>
      <c r="M35" s="13" t="n">
        <f aca="false">IF(OR(H35="",F35="",G35=""),"",H35-G35-F35-H35*$B$3+IF(L35="",0,L35))</f>
        <v>16.34</v>
      </c>
      <c r="N35" s="12" t="n">
        <f aca="false">IF(OR(M35="",H35=0,H35=""),"",M35/H35)</f>
        <v>0.127756059421423</v>
      </c>
      <c r="O35" s="22" t="str">
        <f aca="false">IF(N35="","",IF(N35&lt;0,"PREJUÍZO",IF(N35&lt;0.1,"CRÍTICO (&lt;10%)",IF(N35&lt;0.15,"ABAIXO DA META (10-15%)",IF(N35&lt;=0.2,"DENTRO DA META (15-20%)","ACIMA DA META (&gt;20%)")))))</f>
        <v>ABAIXO DA META (10-15%)</v>
      </c>
      <c r="P35" s="23"/>
    </row>
    <row r="36" customFormat="false" ht="15" hidden="false" customHeight="true" outlineLevel="0" collapsed="false">
      <c r="A36" s="19" t="s">
        <v>49</v>
      </c>
      <c r="B36" s="19" t="s">
        <v>96</v>
      </c>
      <c r="C36" s="19" t="s">
        <v>98</v>
      </c>
      <c r="D36" s="20" t="n">
        <v>127.9</v>
      </c>
      <c r="E36" s="21" t="n">
        <v>0</v>
      </c>
      <c r="F36" s="20" t="n">
        <v>60.21</v>
      </c>
      <c r="G36" s="13" t="n">
        <v>16.96</v>
      </c>
      <c r="H36" s="13" t="n">
        <f aca="false">IF(D36="","",D36*(1-E36))</f>
        <v>127.9</v>
      </c>
      <c r="I36" s="12" t="n">
        <f aca="false">IF(OR(G36="",H36=""),"",G36/H36)</f>
        <v>0.132603596559812</v>
      </c>
      <c r="J36" s="13" t="n">
        <f aca="false">IF(OR(B36="",C36=""),"",INDEX(Ref_Frete!$B$2:$G$54,MATCH(C36,Ref_Frete!$A$2:$A$54,0),IF(B36="Pequenos",2,IF(B36="Medios",4,6))))</f>
        <v>16.9</v>
      </c>
      <c r="K36" s="13" t="n">
        <f aca="false">IF(OR(B36="",C36=""),"",INDEX(Ref_Frete!$B$2:$G$54,MATCH(C36,Ref_Frete!$A$2:$A$54,0),IF(B36="Pequenos",1,IF(B36="Medios",3,5))))</f>
        <v>30</v>
      </c>
      <c r="L36" s="13" t="n">
        <f aca="false">IF(OR(J36="",K36=""),"",J36-K36)</f>
        <v>-13.1</v>
      </c>
      <c r="M36" s="13" t="n">
        <f aca="false">IF(OR(H36="",F36="",G36=""),"",H36-G36-F36-H36*$B$3+IF(L36="",0,L36))</f>
        <v>24.84</v>
      </c>
      <c r="N36" s="12" t="n">
        <f aca="false">IF(OR(M36="",H36=0,H36=""),"",M36/H36)</f>
        <v>0.194214229867084</v>
      </c>
      <c r="O36" s="22" t="str">
        <f aca="false">IF(N36="","",IF(N36&lt;0,"PREJUÍZO",IF(N36&lt;0.1,"CRÍTICO (&lt;10%)",IF(N36&lt;0.15,"ABAIXO DA META (10-15%)",IF(N36&lt;=0.2,"DENTRO DA META (15-20%)","ACIMA DA META (&gt;20%)")))))</f>
        <v>DENTRO DA META (15-20%)</v>
      </c>
      <c r="P36" s="23"/>
    </row>
    <row r="37" customFormat="false" ht="15" hidden="true" customHeight="true" outlineLevel="0" collapsed="false">
      <c r="A37" s="19" t="s">
        <v>31</v>
      </c>
      <c r="B37" s="19" t="s">
        <v>96</v>
      </c>
      <c r="C37" s="19" t="s">
        <v>97</v>
      </c>
      <c r="D37" s="20" t="n">
        <v>139.9</v>
      </c>
      <c r="E37" s="21" t="n">
        <v>0</v>
      </c>
      <c r="F37" s="20" t="n">
        <v>69.52</v>
      </c>
      <c r="G37" s="13" t="n">
        <v>18.49</v>
      </c>
      <c r="H37" s="13" t="n">
        <f aca="false">IF(D37="","",D37*(1-E37))</f>
        <v>139.9</v>
      </c>
      <c r="I37" s="12" t="n">
        <f aca="false">IF(OR(G37="",H37=""),"",G37/H37)</f>
        <v>0.13216583273767</v>
      </c>
      <c r="J37" s="13" t="n">
        <f aca="false">IF(OR(B37="",C37=""),"",INDEX(Ref_Frete!$B$2:$G$54,MATCH(C37,Ref_Frete!$A$2:$A$54,0),IF(B37="Pequenos",2,IF(B37="Medios",4,6))))</f>
        <v>24.9</v>
      </c>
      <c r="K37" s="13" t="n">
        <f aca="false">IF(OR(B37="",C37=""),"",INDEX(Ref_Frete!$B$2:$G$54,MATCH(C37,Ref_Frete!$A$2:$A$54,0),IF(B37="Pequenos",1,IF(B37="Medios",3,5))))</f>
        <v>46.5</v>
      </c>
      <c r="L37" s="13" t="n">
        <f aca="false">IF(OR(J37="",K37=""),"",J37-K37)</f>
        <v>-21.6</v>
      </c>
      <c r="M37" s="13" t="n">
        <f aca="false">IF(OR(H37="",F37="",G37=""),"",H37-G37-F37-H37*$B$3+IF(L37="",0,L37))</f>
        <v>16.3</v>
      </c>
      <c r="N37" s="12" t="n">
        <f aca="false">IF(OR(M37="",H37=0,H37=""),"",M37/H37)</f>
        <v>0.116511794138671</v>
      </c>
      <c r="O37" s="22" t="str">
        <f aca="false">IF(N37="","",IF(N37&lt;0,"PREJUÍZO",IF(N37&lt;0.1,"CRÍTICO (&lt;10%)",IF(N37&lt;0.15,"ABAIXO DA META (10-15%)",IF(N37&lt;=0.2,"DENTRO DA META (15-20%)","ACIMA DA META (&gt;20%)")))))</f>
        <v>ABAIXO DA META (10-15%)</v>
      </c>
      <c r="P37" s="23"/>
    </row>
    <row r="38" customFormat="false" ht="15" hidden="true" customHeight="true" outlineLevel="0" collapsed="false">
      <c r="A38" s="19" t="s">
        <v>31</v>
      </c>
      <c r="B38" s="19" t="s">
        <v>96</v>
      </c>
      <c r="C38" s="19" t="s">
        <v>98</v>
      </c>
      <c r="D38" s="20" t="n">
        <v>139.9</v>
      </c>
      <c r="E38" s="21" t="n">
        <v>0</v>
      </c>
      <c r="F38" s="20" t="n">
        <v>69.52</v>
      </c>
      <c r="G38" s="13" t="n">
        <v>18.49</v>
      </c>
      <c r="H38" s="13" t="n">
        <f aca="false">IF(D38="","",D38*(1-E38))</f>
        <v>139.9</v>
      </c>
      <c r="I38" s="12" t="n">
        <f aca="false">IF(OR(G38="",H38=""),"",G38/H38)</f>
        <v>0.13216583273767</v>
      </c>
      <c r="J38" s="13" t="n">
        <f aca="false">IF(OR(B38="",C38=""),"",INDEX(Ref_Frete!$B$2:$G$54,MATCH(C38,Ref_Frete!$A$2:$A$54,0),IF(B38="Pequenos",2,IF(B38="Medios",4,6))))</f>
        <v>16.9</v>
      </c>
      <c r="K38" s="13" t="n">
        <f aca="false">IF(OR(B38="",C38=""),"",INDEX(Ref_Frete!$B$2:$G$54,MATCH(C38,Ref_Frete!$A$2:$A$54,0),IF(B38="Pequenos",1,IF(B38="Medios",3,5))))</f>
        <v>30</v>
      </c>
      <c r="L38" s="13" t="n">
        <f aca="false">IF(OR(J38="",K38=""),"",J38-K38)</f>
        <v>-13.1</v>
      </c>
      <c r="M38" s="13" t="n">
        <f aca="false">IF(OR(H38="",F38="",G38=""),"",H38-G38-F38-H38*$B$3+IF(L38="",0,L38))</f>
        <v>24.8</v>
      </c>
      <c r="N38" s="12" t="n">
        <f aca="false">IF(OR(M38="",H38=0,H38=""),"",M38/H38)</f>
        <v>0.177269478198713</v>
      </c>
      <c r="O38" s="22" t="str">
        <f aca="false">IF(N38="","",IF(N38&lt;0,"PREJUÍZO",IF(N38&lt;0.1,"CRÍTICO (&lt;10%)",IF(N38&lt;0.15,"ABAIXO DA META (10-15%)",IF(N38&lt;=0.2,"DENTRO DA META (15-20%)","ACIMA DA META (&gt;20%)")))))</f>
        <v>DENTRO DA META (15-20%)</v>
      </c>
      <c r="P38" s="23"/>
    </row>
    <row r="39" customFormat="false" ht="15" hidden="true" customHeight="true" outlineLevel="0" collapsed="false">
      <c r="A39" s="19" t="s">
        <v>106</v>
      </c>
      <c r="B39" s="19" t="s">
        <v>96</v>
      </c>
      <c r="C39" s="19" t="s">
        <v>97</v>
      </c>
      <c r="D39" s="20" t="n">
        <v>132.9</v>
      </c>
      <c r="E39" s="21" t="n">
        <v>0</v>
      </c>
      <c r="F39" s="20" t="n">
        <v>63.11</v>
      </c>
      <c r="G39" s="13" t="n">
        <v>17.5</v>
      </c>
      <c r="H39" s="13" t="n">
        <f aca="false">IF(D39="","",D39*(1-E39))</f>
        <v>132.9</v>
      </c>
      <c r="I39" s="12" t="n">
        <f aca="false">IF(OR(G39="",H39=""),"",G39/H39)</f>
        <v>0.131677953348382</v>
      </c>
      <c r="J39" s="13" t="n">
        <f aca="false">IF(OR(B39="",C39=""),"",INDEX(Ref_Frete!$B$2:$G$54,MATCH(C39,Ref_Frete!$A$2:$A$54,0),IF(B39="Pequenos",2,IF(B39="Medios",4,6))))</f>
        <v>24.9</v>
      </c>
      <c r="K39" s="13" t="n">
        <f aca="false">IF(OR(B39="",C39=""),"",INDEX(Ref_Frete!$B$2:$G$54,MATCH(C39,Ref_Frete!$A$2:$A$54,0),IF(B39="Pequenos",1,IF(B39="Medios",3,5))))</f>
        <v>46.5</v>
      </c>
      <c r="L39" s="13" t="n">
        <f aca="false">IF(OR(J39="",K39=""),"",J39-K39)</f>
        <v>-21.6</v>
      </c>
      <c r="M39" s="13" t="n">
        <f aca="false">IF(OR(H39="",F39="",G39=""),"",H39-G39-F39-H39*$B$3+IF(L39="",0,L39))</f>
        <v>17.4</v>
      </c>
      <c r="N39" s="12" t="n">
        <f aca="false">IF(OR(M39="",H39=0,H39=""),"",M39/H39)</f>
        <v>0.130925507900677</v>
      </c>
      <c r="O39" s="22" t="str">
        <f aca="false">IF(N39="","",IF(N39&lt;0,"PREJUÍZO",IF(N39&lt;0.1,"CRÍTICO (&lt;10%)",IF(N39&lt;0.15,"ABAIXO DA META (10-15%)",IF(N39&lt;=0.2,"DENTRO DA META (15-20%)","ACIMA DA META (&gt;20%)")))))</f>
        <v>ABAIXO DA META (10-15%)</v>
      </c>
      <c r="P39" s="23"/>
    </row>
    <row r="40" customFormat="false" ht="15" hidden="false" customHeight="true" outlineLevel="0" collapsed="false">
      <c r="A40" s="19" t="s">
        <v>106</v>
      </c>
      <c r="B40" s="19" t="s">
        <v>96</v>
      </c>
      <c r="C40" s="19" t="s">
        <v>98</v>
      </c>
      <c r="D40" s="20" t="n">
        <v>132.9</v>
      </c>
      <c r="E40" s="21" t="n">
        <v>0</v>
      </c>
      <c r="F40" s="20" t="n">
        <v>63.11</v>
      </c>
      <c r="G40" s="13" t="n">
        <v>17.5</v>
      </c>
      <c r="H40" s="13" t="n">
        <f aca="false">IF(D40="","",D40*(1-E40))</f>
        <v>132.9</v>
      </c>
      <c r="I40" s="12" t="n">
        <f aca="false">IF(OR(G40="",H40=""),"",G40/H40)</f>
        <v>0.131677953348382</v>
      </c>
      <c r="J40" s="13" t="n">
        <f aca="false">IF(OR(B40="",C40=""),"",INDEX(Ref_Frete!$B$2:$G$54,MATCH(C40,Ref_Frete!$A$2:$A$54,0),IF(B40="Pequenos",2,IF(B40="Medios",4,6))))</f>
        <v>16.9</v>
      </c>
      <c r="K40" s="13" t="n">
        <f aca="false">IF(OR(B40="",C40=""),"",INDEX(Ref_Frete!$B$2:$G$54,MATCH(C40,Ref_Frete!$A$2:$A$54,0),IF(B40="Pequenos",1,IF(B40="Medios",3,5))))</f>
        <v>30</v>
      </c>
      <c r="L40" s="13" t="n">
        <f aca="false">IF(OR(J40="",K40=""),"",J40-K40)</f>
        <v>-13.1</v>
      </c>
      <c r="M40" s="13" t="n">
        <f aca="false">IF(OR(H40="",F40="",G40=""),"",H40-G40-F40-H40*$B$3+IF(L40="",0,L40))</f>
        <v>25.9</v>
      </c>
      <c r="N40" s="12" t="n">
        <f aca="false">IF(OR(M40="",H40=0,H40=""),"",M40/H40)</f>
        <v>0.194883370955606</v>
      </c>
      <c r="O40" s="22" t="str">
        <f aca="false">IF(N40="","",IF(N40&lt;0,"PREJUÍZO",IF(N40&lt;0.1,"CRÍTICO (&lt;10%)",IF(N40&lt;0.15,"ABAIXO DA META (10-15%)",IF(N40&lt;=0.2,"DENTRO DA META (15-20%)","ACIMA DA META (&gt;20%)")))))</f>
        <v>DENTRO DA META (15-20%)</v>
      </c>
      <c r="P40" s="23"/>
    </row>
    <row r="41" customFormat="false" ht="15" hidden="true" customHeight="true" outlineLevel="0" collapsed="false">
      <c r="A41" s="19" t="s">
        <v>46</v>
      </c>
      <c r="B41" s="19" t="s">
        <v>96</v>
      </c>
      <c r="C41" s="19" t="s">
        <v>97</v>
      </c>
      <c r="D41" s="20" t="n">
        <v>119.22</v>
      </c>
      <c r="E41" s="21" t="n">
        <v>0</v>
      </c>
      <c r="F41" s="20" t="n">
        <v>55.49</v>
      </c>
      <c r="G41" s="13" t="n">
        <v>15.85</v>
      </c>
      <c r="H41" s="13" t="n">
        <f aca="false">IF(D41="","",D41*(1-E41))</f>
        <v>119.22</v>
      </c>
      <c r="I41" s="12" t="n">
        <f aca="false">IF(OR(G41="",H41=""),"",G41/H41)</f>
        <v>0.132947492031538</v>
      </c>
      <c r="J41" s="13" t="n">
        <f aca="false">IF(OR(B41="",C41=""),"",INDEX(Ref_Frete!$B$2:$G$54,MATCH(C41,Ref_Frete!$A$2:$A$54,0),IF(B41="Pequenos",2,IF(B41="Medios",4,6))))</f>
        <v>24.9</v>
      </c>
      <c r="K41" s="13" t="n">
        <f aca="false">IF(OR(B41="",C41=""),"",INDEX(Ref_Frete!$B$2:$G$54,MATCH(C41,Ref_Frete!$A$2:$A$54,0),IF(B41="Pequenos",1,IF(B41="Medios",3,5))))</f>
        <v>46.5</v>
      </c>
      <c r="L41" s="13" t="n">
        <f aca="false">IF(OR(J41="",K41=""),"",J41-K41)</f>
        <v>-21.6</v>
      </c>
      <c r="M41" s="13" t="n">
        <f aca="false">IF(OR(H41="",F41="",G41=""),"",H41-G41-F41-H41*$B$3+IF(L41="",0,L41))</f>
        <v>14.358</v>
      </c>
      <c r="N41" s="12" t="n">
        <f aca="false">IF(OR(M41="",H41=0,H41=""),"",M41/H41)</f>
        <v>0.120432813286361</v>
      </c>
      <c r="O41" s="22" t="str">
        <f aca="false">IF(N41="","",IF(N41&lt;0,"PREJUÍZO",IF(N41&lt;0.1,"CRÍTICO (&lt;10%)",IF(N41&lt;0.15,"ABAIXO DA META (10-15%)",IF(N41&lt;=0.2,"DENTRO DA META (15-20%)","ACIMA DA META (&gt;20%)")))))</f>
        <v>ABAIXO DA META (10-15%)</v>
      </c>
      <c r="P41" s="23"/>
    </row>
    <row r="42" customFormat="false" ht="15" hidden="false" customHeight="true" outlineLevel="0" collapsed="false">
      <c r="A42" s="19" t="s">
        <v>46</v>
      </c>
      <c r="B42" s="19" t="s">
        <v>96</v>
      </c>
      <c r="C42" s="19" t="s">
        <v>98</v>
      </c>
      <c r="D42" s="20" t="n">
        <v>119.22</v>
      </c>
      <c r="E42" s="21" t="n">
        <v>0</v>
      </c>
      <c r="F42" s="20" t="n">
        <v>55.49</v>
      </c>
      <c r="G42" s="13" t="n">
        <v>15.85</v>
      </c>
      <c r="H42" s="13" t="n">
        <f aca="false">IF(D42="","",D42*(1-E42))</f>
        <v>119.22</v>
      </c>
      <c r="I42" s="12" t="n">
        <f aca="false">IF(OR(G42="",H42=""),"",G42/H42)</f>
        <v>0.132947492031538</v>
      </c>
      <c r="J42" s="13" t="n">
        <f aca="false">IF(OR(B42="",C42=""),"",INDEX(Ref_Frete!$B$2:$G$54,MATCH(C42,Ref_Frete!$A$2:$A$54,0),IF(B42="Pequenos",2,IF(B42="Medios",4,6))))</f>
        <v>16.9</v>
      </c>
      <c r="K42" s="13" t="n">
        <f aca="false">IF(OR(B42="",C42=""),"",INDEX(Ref_Frete!$B$2:$G$54,MATCH(C42,Ref_Frete!$A$2:$A$54,0),IF(B42="Pequenos",1,IF(B42="Medios",3,5))))</f>
        <v>30</v>
      </c>
      <c r="L42" s="13" t="n">
        <f aca="false">IF(OR(J42="",K42=""),"",J42-K42)</f>
        <v>-13.1</v>
      </c>
      <c r="M42" s="13" t="n">
        <f aca="false">IF(OR(H42="",F42="",G42=""),"",H42-G42-F42-H42*$B$3+IF(L42="",0,L42))</f>
        <v>22.858</v>
      </c>
      <c r="N42" s="12" t="n">
        <f aca="false">IF(OR(M42="",H42=0,H42=""),"",M42/H42)</f>
        <v>0.191729575574568</v>
      </c>
      <c r="O42" s="22" t="str">
        <f aca="false">IF(N42="","",IF(N42&lt;0,"PREJUÍZO",IF(N42&lt;0.1,"CRÍTICO (&lt;10%)",IF(N42&lt;0.15,"ABAIXO DA META (10-15%)",IF(N42&lt;=0.2,"DENTRO DA META (15-20%)","ACIMA DA META (&gt;20%)")))))</f>
        <v>DENTRO DA META (15-20%)</v>
      </c>
      <c r="P42" s="23"/>
    </row>
    <row r="43" customFormat="false" ht="15" hidden="true" customHeight="true" outlineLevel="0" collapsed="false">
      <c r="A43" s="19" t="s">
        <v>107</v>
      </c>
      <c r="B43" s="19" t="s">
        <v>96</v>
      </c>
      <c r="C43" s="19" t="s">
        <v>97</v>
      </c>
      <c r="D43" s="20" t="n">
        <v>141.9</v>
      </c>
      <c r="E43" s="21" t="n">
        <v>0</v>
      </c>
      <c r="F43" s="20" t="n">
        <v>68.57</v>
      </c>
      <c r="G43" s="13" t="n">
        <v>18.64</v>
      </c>
      <c r="H43" s="13" t="n">
        <f aca="false">IF(D43="","",D43*(1-E43))</f>
        <v>141.9</v>
      </c>
      <c r="I43" s="12" t="n">
        <f aca="false">IF(OR(G43="",H43=""),"",G43/H43)</f>
        <v>0.131360112755462</v>
      </c>
      <c r="J43" s="13" t="n">
        <f aca="false">IF(OR(B43="",C43=""),"",INDEX(Ref_Frete!$B$2:$G$54,MATCH(C43,Ref_Frete!$A$2:$A$54,0),IF(B43="Pequenos",2,IF(B43="Medios",4,6))))</f>
        <v>24.9</v>
      </c>
      <c r="K43" s="13" t="n">
        <f aca="false">IF(OR(B43="",C43=""),"",INDEX(Ref_Frete!$B$2:$G$54,MATCH(C43,Ref_Frete!$A$2:$A$54,0),IF(B43="Pequenos",1,IF(B43="Medios",3,5))))</f>
        <v>46.5</v>
      </c>
      <c r="L43" s="13" t="n">
        <f aca="false">IF(OR(J43="",K43=""),"",J43-K43)</f>
        <v>-21.6</v>
      </c>
      <c r="M43" s="13" t="n">
        <f aca="false">IF(OR(H43="",F43="",G43=""),"",H43-G43-F43-H43*$B$3+IF(L43="",0,L43))</f>
        <v>18.9</v>
      </c>
      <c r="N43" s="12" t="n">
        <f aca="false">IF(OR(M43="",H43=0,H43=""),"",M43/H43)</f>
        <v>0.133192389006343</v>
      </c>
      <c r="O43" s="22" t="str">
        <f aca="false">IF(N43="","",IF(N43&lt;0,"PREJUÍZO",IF(N43&lt;0.1,"CRÍTICO (&lt;10%)",IF(N43&lt;0.15,"ABAIXO DA META (10-15%)",IF(N43&lt;=0.2,"DENTRO DA META (15-20%)","ACIMA DA META (&gt;20%)")))))</f>
        <v>ABAIXO DA META (10-15%)</v>
      </c>
      <c r="P43" s="23"/>
    </row>
    <row r="44" customFormat="false" ht="15" hidden="false" customHeight="true" outlineLevel="0" collapsed="false">
      <c r="A44" s="19" t="s">
        <v>107</v>
      </c>
      <c r="B44" s="19" t="s">
        <v>96</v>
      </c>
      <c r="C44" s="19" t="s">
        <v>98</v>
      </c>
      <c r="D44" s="20" t="n">
        <v>141.9</v>
      </c>
      <c r="E44" s="21" t="n">
        <v>0</v>
      </c>
      <c r="F44" s="20" t="n">
        <v>68.57</v>
      </c>
      <c r="G44" s="13" t="n">
        <v>18.64</v>
      </c>
      <c r="H44" s="13" t="n">
        <f aca="false">IF(D44="","",D44*(1-E44))</f>
        <v>141.9</v>
      </c>
      <c r="I44" s="12" t="n">
        <f aca="false">IF(OR(G44="",H44=""),"",G44/H44)</f>
        <v>0.131360112755462</v>
      </c>
      <c r="J44" s="13" t="n">
        <f aca="false">IF(OR(B44="",C44=""),"",INDEX(Ref_Frete!$B$2:$G$54,MATCH(C44,Ref_Frete!$A$2:$A$54,0),IF(B44="Pequenos",2,IF(B44="Medios",4,6))))</f>
        <v>16.9</v>
      </c>
      <c r="K44" s="13" t="n">
        <f aca="false">IF(OR(B44="",C44=""),"",INDEX(Ref_Frete!$B$2:$G$54,MATCH(C44,Ref_Frete!$A$2:$A$54,0),IF(B44="Pequenos",1,IF(B44="Medios",3,5))))</f>
        <v>30</v>
      </c>
      <c r="L44" s="13" t="n">
        <f aca="false">IF(OR(J44="",K44=""),"",J44-K44)</f>
        <v>-13.1</v>
      </c>
      <c r="M44" s="13" t="n">
        <f aca="false">IF(OR(H44="",F44="",G44=""),"",H44-G44-F44-H44*$B$3+IF(L44="",0,L44))</f>
        <v>27.4</v>
      </c>
      <c r="N44" s="12" t="n">
        <f aca="false">IF(OR(M44="",H44=0,H44=""),"",M44/H44)</f>
        <v>0.193093727977449</v>
      </c>
      <c r="O44" s="22" t="str">
        <f aca="false">IF(N44="","",IF(N44&lt;0,"PREJUÍZO",IF(N44&lt;0.1,"CRÍTICO (&lt;10%)",IF(N44&lt;0.15,"ABAIXO DA META (10-15%)",IF(N44&lt;=0.2,"DENTRO DA META (15-20%)","ACIMA DA META (&gt;20%)")))))</f>
        <v>DENTRO DA META (15-20%)</v>
      </c>
      <c r="P44" s="23"/>
    </row>
    <row r="45" customFormat="false" ht="15" hidden="true" customHeight="true" outlineLevel="0" collapsed="false">
      <c r="A45" s="19" t="s">
        <v>108</v>
      </c>
      <c r="B45" s="19" t="s">
        <v>96</v>
      </c>
      <c r="C45" s="19" t="s">
        <v>97</v>
      </c>
      <c r="D45" s="20" t="n">
        <v>153.72</v>
      </c>
      <c r="E45" s="21" t="n">
        <v>0</v>
      </c>
      <c r="F45" s="20" t="n">
        <v>75.68</v>
      </c>
      <c r="G45" s="13" t="n">
        <v>19.99</v>
      </c>
      <c r="H45" s="13" t="n">
        <f aca="false">IF(D45="","",D45*(1-E45))</f>
        <v>153.72</v>
      </c>
      <c r="I45" s="12" t="n">
        <f aca="false">IF(OR(G45="",H45=""),"",G45/H45)</f>
        <v>0.130041634139995</v>
      </c>
      <c r="J45" s="13" t="n">
        <f aca="false">IF(OR(B45="",C45=""),"",INDEX(Ref_Frete!$B$2:$G$54,MATCH(C45,Ref_Frete!$A$2:$A$54,0),IF(B45="Pequenos",2,IF(B45="Medios",4,6))))</f>
        <v>24.9</v>
      </c>
      <c r="K45" s="13" t="n">
        <f aca="false">IF(OR(B45="",C45=""),"",INDEX(Ref_Frete!$B$2:$G$54,MATCH(C45,Ref_Frete!$A$2:$A$54,0),IF(B45="Pequenos",1,IF(B45="Medios",3,5))))</f>
        <v>46.5</v>
      </c>
      <c r="L45" s="13" t="n">
        <f aca="false">IF(OR(J45="",K45=""),"",J45-K45)</f>
        <v>-21.6</v>
      </c>
      <c r="M45" s="13" t="n">
        <f aca="false">IF(OR(H45="",F45="",G45=""),"",H45-G45-F45-H45*$B$3+IF(L45="",0,L45))</f>
        <v>21.078</v>
      </c>
      <c r="N45" s="12" t="n">
        <f aca="false">IF(OR(M45="",H45=0,H45=""),"",M45/H45)</f>
        <v>0.13711943793911</v>
      </c>
      <c r="O45" s="22" t="str">
        <f aca="false">IF(N45="","",IF(N45&lt;0,"PREJUÍZO",IF(N45&lt;0.1,"CRÍTICO (&lt;10%)",IF(N45&lt;0.15,"ABAIXO DA META (10-15%)",IF(N45&lt;=0.2,"DENTRO DA META (15-20%)","ACIMA DA META (&gt;20%)")))))</f>
        <v>ABAIXO DA META (10-15%)</v>
      </c>
      <c r="P45" s="23"/>
    </row>
    <row r="46" customFormat="false" ht="15" hidden="false" customHeight="true" outlineLevel="0" collapsed="false">
      <c r="A46" s="19" t="s">
        <v>108</v>
      </c>
      <c r="B46" s="19" t="s">
        <v>96</v>
      </c>
      <c r="C46" s="19" t="s">
        <v>98</v>
      </c>
      <c r="D46" s="20" t="n">
        <v>153.72</v>
      </c>
      <c r="E46" s="21" t="n">
        <v>0</v>
      </c>
      <c r="F46" s="20" t="n">
        <v>75.68</v>
      </c>
      <c r="G46" s="13" t="n">
        <v>19.99</v>
      </c>
      <c r="H46" s="13" t="n">
        <f aca="false">IF(D46="","",D46*(1-E46))</f>
        <v>153.72</v>
      </c>
      <c r="I46" s="12" t="n">
        <f aca="false">IF(OR(G46="",H46=""),"",G46/H46)</f>
        <v>0.130041634139995</v>
      </c>
      <c r="J46" s="13" t="n">
        <f aca="false">IF(OR(B46="",C46=""),"",INDEX(Ref_Frete!$B$2:$G$54,MATCH(C46,Ref_Frete!$A$2:$A$54,0),IF(B46="Pequenos",2,IF(B46="Medios",4,6))))</f>
        <v>16.9</v>
      </c>
      <c r="K46" s="13" t="n">
        <f aca="false">IF(OR(B46="",C46=""),"",INDEX(Ref_Frete!$B$2:$G$54,MATCH(C46,Ref_Frete!$A$2:$A$54,0),IF(B46="Pequenos",1,IF(B46="Medios",3,5))))</f>
        <v>30</v>
      </c>
      <c r="L46" s="13" t="n">
        <f aca="false">IF(OR(J46="",K46=""),"",J46-K46)</f>
        <v>-13.1</v>
      </c>
      <c r="M46" s="13" t="n">
        <f aca="false">IF(OR(H46="",F46="",G46=""),"",H46-G46-F46-H46*$B$3+IF(L46="",0,L46))</f>
        <v>29.578</v>
      </c>
      <c r="N46" s="12" t="n">
        <f aca="false">IF(OR(M46="",H46=0,H46=""),"",M46/H46)</f>
        <v>0.192414780119698</v>
      </c>
      <c r="O46" s="22" t="str">
        <f aca="false">IF(N46="","",IF(N46&lt;0,"PREJUÍZO",IF(N46&lt;0.1,"CRÍTICO (&lt;10%)",IF(N46&lt;0.15,"ABAIXO DA META (10-15%)",IF(N46&lt;=0.2,"DENTRO DA META (15-20%)","ACIMA DA META (&gt;20%)")))))</f>
        <v>DENTRO DA META (15-20%)</v>
      </c>
      <c r="P46" s="23"/>
    </row>
    <row r="47" customFormat="false" ht="15" hidden="true" customHeight="true" outlineLevel="0" collapsed="false">
      <c r="A47" s="19" t="s">
        <v>109</v>
      </c>
      <c r="B47" s="19" t="s">
        <v>96</v>
      </c>
      <c r="C47" s="19" t="s">
        <v>97</v>
      </c>
      <c r="D47" s="20" t="n">
        <v>143.13</v>
      </c>
      <c r="E47" s="21" t="n">
        <v>0</v>
      </c>
      <c r="F47" s="20" t="n">
        <v>69.27</v>
      </c>
      <c r="G47" s="13" t="n">
        <v>18.72</v>
      </c>
      <c r="H47" s="13" t="n">
        <f aca="false">IF(D47="","",D47*(1-E47))</f>
        <v>143.13</v>
      </c>
      <c r="I47" s="12" t="n">
        <f aca="false">IF(OR(G47="",H47=""),"",G47/H47)</f>
        <v>0.130790190735695</v>
      </c>
      <c r="J47" s="13" t="n">
        <f aca="false">IF(OR(B47="",C47=""),"",INDEX(Ref_Frete!$B$2:$G$54,MATCH(C47,Ref_Frete!$A$2:$A$54,0),IF(B47="Pequenos",2,IF(B47="Medios",4,6))))</f>
        <v>24.9</v>
      </c>
      <c r="K47" s="13" t="n">
        <f aca="false">IF(OR(B47="",C47=""),"",INDEX(Ref_Frete!$B$2:$G$54,MATCH(C47,Ref_Frete!$A$2:$A$54,0),IF(B47="Pequenos",1,IF(B47="Medios",3,5))))</f>
        <v>46.5</v>
      </c>
      <c r="L47" s="13" t="n">
        <f aca="false">IF(OR(J47="",K47=""),"",J47-K47)</f>
        <v>-21.6</v>
      </c>
      <c r="M47" s="13" t="n">
        <f aca="false">IF(OR(H47="",F47="",G47=""),"",H47-G47-F47-H47*$B$3+IF(L47="",0,L47))</f>
        <v>19.227</v>
      </c>
      <c r="N47" s="12" t="n">
        <f aca="false">IF(OR(M47="",H47=0,H47=""),"",M47/H47)</f>
        <v>0.13433242506812</v>
      </c>
      <c r="O47" s="22" t="str">
        <f aca="false">IF(N47="","",IF(N47&lt;0,"PREJUÍZO",IF(N47&lt;0.1,"CRÍTICO (&lt;10%)",IF(N47&lt;0.15,"ABAIXO DA META (10-15%)",IF(N47&lt;=0.2,"DENTRO DA META (15-20%)","ACIMA DA META (&gt;20%)")))))</f>
        <v>ABAIXO DA META (10-15%)</v>
      </c>
      <c r="P47" s="23"/>
    </row>
    <row r="48" customFormat="false" ht="15" hidden="false" customHeight="true" outlineLevel="0" collapsed="false">
      <c r="A48" s="19" t="s">
        <v>109</v>
      </c>
      <c r="B48" s="19" t="s">
        <v>96</v>
      </c>
      <c r="C48" s="19" t="s">
        <v>98</v>
      </c>
      <c r="D48" s="20" t="n">
        <v>143.13</v>
      </c>
      <c r="E48" s="21" t="n">
        <v>0</v>
      </c>
      <c r="F48" s="20" t="n">
        <v>69.27</v>
      </c>
      <c r="G48" s="13" t="n">
        <v>18.72</v>
      </c>
      <c r="H48" s="13" t="n">
        <f aca="false">IF(D48="","",D48*(1-E48))</f>
        <v>143.13</v>
      </c>
      <c r="I48" s="12" t="n">
        <f aca="false">IF(OR(G48="",H48=""),"",G48/H48)</f>
        <v>0.130790190735695</v>
      </c>
      <c r="J48" s="13" t="n">
        <f aca="false">IF(OR(B48="",C48=""),"",INDEX(Ref_Frete!$B$2:$G$54,MATCH(C48,Ref_Frete!$A$2:$A$54,0),IF(B48="Pequenos",2,IF(B48="Medios",4,6))))</f>
        <v>16.9</v>
      </c>
      <c r="K48" s="13" t="n">
        <f aca="false">IF(OR(B48="",C48=""),"",INDEX(Ref_Frete!$B$2:$G$54,MATCH(C48,Ref_Frete!$A$2:$A$54,0),IF(B48="Pequenos",1,IF(B48="Medios",3,5))))</f>
        <v>30</v>
      </c>
      <c r="L48" s="13" t="n">
        <f aca="false">IF(OR(J48="",K48=""),"",J48-K48)</f>
        <v>-13.1</v>
      </c>
      <c r="M48" s="13" t="n">
        <f aca="false">IF(OR(H48="",F48="",G48=""),"",H48-G48-F48-H48*$B$3+IF(L48="",0,L48))</f>
        <v>27.727</v>
      </c>
      <c r="N48" s="12" t="n">
        <f aca="false">IF(OR(M48="",H48=0,H48=""),"",M48/H48)</f>
        <v>0.193718996716272</v>
      </c>
      <c r="O48" s="22" t="str">
        <f aca="false">IF(N48="","",IF(N48&lt;0,"PREJUÍZO",IF(N48&lt;0.1,"CRÍTICO (&lt;10%)",IF(N48&lt;0.15,"ABAIXO DA META (10-15%)",IF(N48&lt;=0.2,"DENTRO DA META (15-20%)","ACIMA DA META (&gt;20%)")))))</f>
        <v>DENTRO DA META (15-20%)</v>
      </c>
      <c r="P48" s="23"/>
    </row>
    <row r="49" customFormat="false" ht="15" hidden="true" customHeight="true" outlineLevel="0" collapsed="false">
      <c r="A49" s="19" t="s">
        <v>110</v>
      </c>
      <c r="B49" s="19" t="s">
        <v>96</v>
      </c>
      <c r="C49" s="19" t="s">
        <v>97</v>
      </c>
      <c r="D49" s="20" t="n">
        <v>160.08</v>
      </c>
      <c r="E49" s="21" t="n">
        <v>0</v>
      </c>
      <c r="F49" s="20" t="n">
        <v>79.66</v>
      </c>
      <c r="G49" s="13" t="n">
        <v>20.76</v>
      </c>
      <c r="H49" s="13" t="n">
        <f aca="false">IF(D49="","",D49*(1-E49))</f>
        <v>160.08</v>
      </c>
      <c r="I49" s="12" t="n">
        <f aca="false">IF(OR(G49="",H49=""),"",G49/H49)</f>
        <v>0.129685157421289</v>
      </c>
      <c r="J49" s="13" t="n">
        <f aca="false">IF(OR(B49="",C49=""),"",INDEX(Ref_Frete!$B$2:$G$54,MATCH(C49,Ref_Frete!$A$2:$A$54,0),IF(B49="Pequenos",2,IF(B49="Medios",4,6))))</f>
        <v>24.9</v>
      </c>
      <c r="K49" s="13" t="n">
        <f aca="false">IF(OR(B49="",C49=""),"",INDEX(Ref_Frete!$B$2:$G$54,MATCH(C49,Ref_Frete!$A$2:$A$54,0),IF(B49="Pequenos",1,IF(B49="Medios",3,5))))</f>
        <v>46.5</v>
      </c>
      <c r="L49" s="13" t="n">
        <f aca="false">IF(OR(J49="",K49=""),"",J49-K49)</f>
        <v>-21.6</v>
      </c>
      <c r="M49" s="13" t="n">
        <f aca="false">IF(OR(H49="",F49="",G49=""),"",H49-G49-F49-H49*$B$3+IF(L49="",0,L49))</f>
        <v>22.052</v>
      </c>
      <c r="N49" s="12" t="n">
        <f aca="false">IF(OR(M49="",H49=0,H49=""),"",M49/H49)</f>
        <v>0.137756121939031</v>
      </c>
      <c r="O49" s="22" t="str">
        <f aca="false">IF(N49="","",IF(N49&lt;0,"PREJUÍZO",IF(N49&lt;0.1,"CRÍTICO (&lt;10%)",IF(N49&lt;0.15,"ABAIXO DA META (10-15%)",IF(N49&lt;=0.2,"DENTRO DA META (15-20%)","ACIMA DA META (&gt;20%)")))))</f>
        <v>ABAIXO DA META (10-15%)</v>
      </c>
      <c r="P49" s="23"/>
    </row>
    <row r="50" customFormat="false" ht="15" hidden="false" customHeight="true" outlineLevel="0" collapsed="false">
      <c r="A50" s="19" t="s">
        <v>110</v>
      </c>
      <c r="B50" s="19" t="s">
        <v>96</v>
      </c>
      <c r="C50" s="19" t="s">
        <v>98</v>
      </c>
      <c r="D50" s="20" t="n">
        <v>160.08</v>
      </c>
      <c r="E50" s="21" t="n">
        <v>0</v>
      </c>
      <c r="F50" s="20" t="n">
        <v>79.66</v>
      </c>
      <c r="G50" s="13" t="n">
        <v>20.76</v>
      </c>
      <c r="H50" s="13" t="n">
        <f aca="false">IF(D50="","",D50*(1-E50))</f>
        <v>160.08</v>
      </c>
      <c r="I50" s="12" t="n">
        <f aca="false">IF(OR(G50="",H50=""),"",G50/H50)</f>
        <v>0.129685157421289</v>
      </c>
      <c r="J50" s="13" t="n">
        <f aca="false">IF(OR(B50="",C50=""),"",INDEX(Ref_Frete!$B$2:$G$54,MATCH(C50,Ref_Frete!$A$2:$A$54,0),IF(B50="Pequenos",2,IF(B50="Medios",4,6))))</f>
        <v>16.9</v>
      </c>
      <c r="K50" s="13" t="n">
        <f aca="false">IF(OR(B50="",C50=""),"",INDEX(Ref_Frete!$B$2:$G$54,MATCH(C50,Ref_Frete!$A$2:$A$54,0),IF(B50="Pequenos",1,IF(B50="Medios",3,5))))</f>
        <v>30</v>
      </c>
      <c r="L50" s="13" t="n">
        <f aca="false">IF(OR(J50="",K50=""),"",J50-K50)</f>
        <v>-13.1</v>
      </c>
      <c r="M50" s="13" t="n">
        <f aca="false">IF(OR(H50="",F50="",G50=""),"",H50-G50-F50-H50*$B$3+IF(L50="",0,L50))</f>
        <v>30.552</v>
      </c>
      <c r="N50" s="12" t="n">
        <f aca="false">IF(OR(M50="",H50=0,H50=""),"",M50/H50)</f>
        <v>0.190854572713643</v>
      </c>
      <c r="O50" s="22" t="str">
        <f aca="false">IF(N50="","",IF(N50&lt;0,"PREJUÍZO",IF(N50&lt;0.1,"CRÍTICO (&lt;10%)",IF(N50&lt;0.15,"ABAIXO DA META (10-15%)",IF(N50&lt;=0.2,"DENTRO DA META (15-20%)","ACIMA DA META (&gt;20%)")))))</f>
        <v>DENTRO DA META (15-20%)</v>
      </c>
      <c r="P50" s="23"/>
    </row>
    <row r="51" customFormat="false" ht="15" hidden="true" customHeight="true" outlineLevel="0" collapsed="false">
      <c r="A51" s="19" t="s">
        <v>111</v>
      </c>
      <c r="B51" s="19" t="s">
        <v>96</v>
      </c>
      <c r="C51" s="19" t="s">
        <v>97</v>
      </c>
      <c r="D51" s="20" t="n">
        <v>174.24</v>
      </c>
      <c r="E51" s="21" t="n">
        <v>0</v>
      </c>
      <c r="F51" s="20" t="n">
        <v>86.87</v>
      </c>
      <c r="G51" s="13" t="n">
        <v>22.46</v>
      </c>
      <c r="H51" s="13" t="n">
        <f aca="false">IF(D51="","",D51*(1-E51))</f>
        <v>174.24</v>
      </c>
      <c r="I51" s="12" t="n">
        <f aca="false">IF(OR(G51="",H51=""),"",G51/H51)</f>
        <v>0.128902662993572</v>
      </c>
      <c r="J51" s="13" t="n">
        <f aca="false">IF(OR(B51="",C51=""),"",INDEX(Ref_Frete!$B$2:$G$54,MATCH(C51,Ref_Frete!$A$2:$A$54,0),IF(B51="Pequenos",2,IF(B51="Medios",4,6))))</f>
        <v>24.9</v>
      </c>
      <c r="K51" s="13" t="n">
        <f aca="false">IF(OR(B51="",C51=""),"",INDEX(Ref_Frete!$B$2:$G$54,MATCH(C51,Ref_Frete!$A$2:$A$54,0),IF(B51="Pequenos",1,IF(B51="Medios",3,5))))</f>
        <v>46.5</v>
      </c>
      <c r="L51" s="13" t="n">
        <f aca="false">IF(OR(J51="",K51=""),"",J51-K51)</f>
        <v>-21.6</v>
      </c>
      <c r="M51" s="13" t="n">
        <f aca="false">IF(OR(H51="",F51="",G51=""),"",H51-G51-F51-H51*$B$3+IF(L51="",0,L51))</f>
        <v>25.886</v>
      </c>
      <c r="N51" s="12" t="n">
        <f aca="false">IF(OR(M51="",H51=0,H51=""),"",M51/H51)</f>
        <v>0.148565197428834</v>
      </c>
      <c r="O51" s="22" t="str">
        <f aca="false">IF(N51="","",IF(N51&lt;0,"PREJUÍZO",IF(N51&lt;0.1,"CRÍTICO (&lt;10%)",IF(N51&lt;0.15,"ABAIXO DA META (10-15%)",IF(N51&lt;=0.2,"DENTRO DA META (15-20%)","ACIMA DA META (&gt;20%)")))))</f>
        <v>ABAIXO DA META (10-15%)</v>
      </c>
      <c r="P51" s="23"/>
    </row>
    <row r="52" customFormat="false" ht="15" hidden="false" customHeight="true" outlineLevel="0" collapsed="false">
      <c r="A52" s="19" t="s">
        <v>111</v>
      </c>
      <c r="B52" s="19" t="s">
        <v>96</v>
      </c>
      <c r="C52" s="19" t="s">
        <v>98</v>
      </c>
      <c r="D52" s="20" t="n">
        <v>174.24</v>
      </c>
      <c r="E52" s="21" t="n">
        <v>0</v>
      </c>
      <c r="F52" s="20" t="n">
        <v>86.87</v>
      </c>
      <c r="G52" s="13" t="n">
        <v>22.46</v>
      </c>
      <c r="H52" s="13" t="n">
        <f aca="false">IF(D52="","",D52*(1-E52))</f>
        <v>174.24</v>
      </c>
      <c r="I52" s="12" t="n">
        <f aca="false">IF(OR(G52="",H52=""),"",G52/H52)</f>
        <v>0.128902662993572</v>
      </c>
      <c r="J52" s="13" t="n">
        <f aca="false">IF(OR(B52="",C52=""),"",INDEX(Ref_Frete!$B$2:$G$54,MATCH(C52,Ref_Frete!$A$2:$A$54,0),IF(B52="Pequenos",2,IF(B52="Medios",4,6))))</f>
        <v>16.9</v>
      </c>
      <c r="K52" s="13" t="n">
        <f aca="false">IF(OR(B52="",C52=""),"",INDEX(Ref_Frete!$B$2:$G$54,MATCH(C52,Ref_Frete!$A$2:$A$54,0),IF(B52="Pequenos",1,IF(B52="Medios",3,5))))</f>
        <v>30</v>
      </c>
      <c r="L52" s="13" t="n">
        <f aca="false">IF(OR(J52="",K52=""),"",J52-K52)</f>
        <v>-13.1</v>
      </c>
      <c r="M52" s="13" t="n">
        <f aca="false">IF(OR(H52="",F52="",G52=""),"",H52-G52-F52-H52*$B$3+IF(L52="",0,L52))</f>
        <v>34.386</v>
      </c>
      <c r="N52" s="12" t="n">
        <f aca="false">IF(OR(M52="",H52=0,H52=""),"",M52/H52)</f>
        <v>0.197348484848485</v>
      </c>
      <c r="O52" s="22" t="str">
        <f aca="false">IF(N52="","",IF(N52&lt;0,"PREJUÍZO",IF(N52&lt;0.1,"CRÍTICO (&lt;10%)",IF(N52&lt;0.15,"ABAIXO DA META (10-15%)",IF(N52&lt;=0.2,"DENTRO DA META (15-20%)","ACIMA DA META (&gt;20%)")))))</f>
        <v>DENTRO DA META (15-20%)</v>
      </c>
      <c r="P52" s="23"/>
    </row>
    <row r="53" customFormat="false" ht="15" hidden="true" customHeight="true" outlineLevel="0" collapsed="false">
      <c r="A53" s="19" t="s">
        <v>40</v>
      </c>
      <c r="B53" s="19" t="s">
        <v>96</v>
      </c>
      <c r="C53" s="19" t="s">
        <v>97</v>
      </c>
      <c r="D53" s="20" t="n">
        <v>183.28</v>
      </c>
      <c r="E53" s="21" t="n">
        <v>0</v>
      </c>
      <c r="F53" s="20" t="n">
        <v>94.18</v>
      </c>
      <c r="G53" s="13" t="n">
        <v>23.54</v>
      </c>
      <c r="H53" s="13" t="n">
        <f aca="false">IF(D53="","",D53*(1-E53))</f>
        <v>183.28</v>
      </c>
      <c r="I53" s="12" t="n">
        <f aca="false">IF(OR(G53="",H53=""),"",G53/H53)</f>
        <v>0.128437363596683</v>
      </c>
      <c r="J53" s="13" t="n">
        <f aca="false">IF(OR(B53="",C53=""),"",INDEX(Ref_Frete!$B$2:$G$54,MATCH(C53,Ref_Frete!$A$2:$A$54,0),IF(B53="Pequenos",2,IF(B53="Medios",4,6))))</f>
        <v>24.9</v>
      </c>
      <c r="K53" s="13" t="n">
        <f aca="false">IF(OR(B53="",C53=""),"",INDEX(Ref_Frete!$B$2:$G$54,MATCH(C53,Ref_Frete!$A$2:$A$54,0),IF(B53="Pequenos",1,IF(B53="Medios",3,5))))</f>
        <v>46.5</v>
      </c>
      <c r="L53" s="13" t="n">
        <f aca="false">IF(OR(J53="",K53=""),"",J53-K53)</f>
        <v>-21.6</v>
      </c>
      <c r="M53" s="13" t="n">
        <f aca="false">IF(OR(H53="",F53="",G53=""),"",H53-G53-F53-H53*$B$3+IF(L53="",0,L53))</f>
        <v>25.632</v>
      </c>
      <c r="N53" s="12" t="n">
        <f aca="false">IF(OR(M53="",H53=0,H53=""),"",M53/H53)</f>
        <v>0.139851593190746</v>
      </c>
      <c r="O53" s="22" t="str">
        <f aca="false">IF(N53="","",IF(N53&lt;0,"PREJUÍZO",IF(N53&lt;0.1,"CRÍTICO (&lt;10%)",IF(N53&lt;0.15,"ABAIXO DA META (10-15%)",IF(N53&lt;=0.2,"DENTRO DA META (15-20%)","ACIMA DA META (&gt;20%)")))))</f>
        <v>ABAIXO DA META (10-15%)</v>
      </c>
      <c r="P53" s="23"/>
    </row>
    <row r="54" customFormat="false" ht="15" hidden="true" customHeight="true" outlineLevel="0" collapsed="false">
      <c r="A54" s="19" t="s">
        <v>40</v>
      </c>
      <c r="B54" s="19" t="s">
        <v>96</v>
      </c>
      <c r="C54" s="19" t="s">
        <v>98</v>
      </c>
      <c r="D54" s="20" t="n">
        <v>183.28</v>
      </c>
      <c r="E54" s="21" t="n">
        <v>0</v>
      </c>
      <c r="F54" s="20" t="n">
        <v>94.18</v>
      </c>
      <c r="G54" s="13" t="n">
        <v>23.54</v>
      </c>
      <c r="H54" s="13" t="n">
        <f aca="false">IF(D54="","",D54*(1-E54))</f>
        <v>183.28</v>
      </c>
      <c r="I54" s="12" t="n">
        <f aca="false">IF(OR(G54="",H54=""),"",G54/H54)</f>
        <v>0.128437363596683</v>
      </c>
      <c r="J54" s="13" t="n">
        <f aca="false">IF(OR(B54="",C54=""),"",INDEX(Ref_Frete!$B$2:$G$54,MATCH(C54,Ref_Frete!$A$2:$A$54,0),IF(B54="Pequenos",2,IF(B54="Medios",4,6))))</f>
        <v>16.9</v>
      </c>
      <c r="K54" s="13" t="n">
        <f aca="false">IF(OR(B54="",C54=""),"",INDEX(Ref_Frete!$B$2:$G$54,MATCH(C54,Ref_Frete!$A$2:$A$54,0),IF(B54="Pequenos",1,IF(B54="Medios",3,5))))</f>
        <v>30</v>
      </c>
      <c r="L54" s="13" t="n">
        <f aca="false">IF(OR(J54="",K54=""),"",J54-K54)</f>
        <v>-13.1</v>
      </c>
      <c r="M54" s="13" t="n">
        <f aca="false">IF(OR(H54="",F54="",G54=""),"",H54-G54-F54-H54*$B$3+IF(L54="",0,L54))</f>
        <v>34.132</v>
      </c>
      <c r="N54" s="12" t="n">
        <f aca="false">IF(OR(M54="",H54=0,H54=""),"",M54/H54)</f>
        <v>0.186228721082497</v>
      </c>
      <c r="O54" s="22" t="str">
        <f aca="false">IF(N54="","",IF(N54&lt;0,"PREJUÍZO",IF(N54&lt;0.1,"CRÍTICO (&lt;10%)",IF(N54&lt;0.15,"ABAIXO DA META (10-15%)",IF(N54&lt;=0.2,"DENTRO DA META (15-20%)","ACIMA DA META (&gt;20%)")))))</f>
        <v>DENTRO DA META (15-20%)</v>
      </c>
      <c r="P54" s="23"/>
    </row>
    <row r="55" customFormat="false" ht="15" hidden="true" customHeight="true" outlineLevel="0" collapsed="false">
      <c r="A55" s="19" t="s">
        <v>41</v>
      </c>
      <c r="B55" s="19" t="s">
        <v>96</v>
      </c>
      <c r="C55" s="19" t="s">
        <v>97</v>
      </c>
      <c r="D55" s="20" t="n">
        <v>178.49</v>
      </c>
      <c r="E55" s="21" t="n">
        <v>0</v>
      </c>
      <c r="F55" s="20" t="n">
        <v>91.16</v>
      </c>
      <c r="G55" s="13" t="n">
        <v>22.97</v>
      </c>
      <c r="H55" s="13" t="n">
        <f aca="false">IF(D55="","",D55*(1-E55))</f>
        <v>178.49</v>
      </c>
      <c r="I55" s="12" t="n">
        <f aca="false">IF(OR(G55="",H55=""),"",G55/H55)</f>
        <v>0.128690682951426</v>
      </c>
      <c r="J55" s="13" t="n">
        <f aca="false">IF(OR(B55="",C55=""),"",INDEX(Ref_Frete!$B$2:$G$54,MATCH(C55,Ref_Frete!$A$2:$A$54,0),IF(B55="Pequenos",2,IF(B55="Medios",4,6))))</f>
        <v>24.9</v>
      </c>
      <c r="K55" s="13" t="n">
        <f aca="false">IF(OR(B55="",C55=""),"",INDEX(Ref_Frete!$B$2:$G$54,MATCH(C55,Ref_Frete!$A$2:$A$54,0),IF(B55="Pequenos",1,IF(B55="Medios",3,5))))</f>
        <v>46.5</v>
      </c>
      <c r="L55" s="13" t="n">
        <f aca="false">IF(OR(J55="",K55=""),"",J55-K55)</f>
        <v>-21.6</v>
      </c>
      <c r="M55" s="13" t="n">
        <f aca="false">IF(OR(H55="",F55="",G55=""),"",H55-G55-F55-H55*$B$3+IF(L55="",0,L55))</f>
        <v>24.911</v>
      </c>
      <c r="N55" s="12" t="n">
        <f aca="false">IF(OR(M55="",H55=0,H55=""),"",M55/H55)</f>
        <v>0.139565241750238</v>
      </c>
      <c r="O55" s="22" t="str">
        <f aca="false">IF(N55="","",IF(N55&lt;0,"PREJUÍZO",IF(N55&lt;0.1,"CRÍTICO (&lt;10%)",IF(N55&lt;0.15,"ABAIXO DA META (10-15%)",IF(N55&lt;=0.2,"DENTRO DA META (15-20%)","ACIMA DA META (&gt;20%)")))))</f>
        <v>ABAIXO DA META (10-15%)</v>
      </c>
      <c r="P55" s="23"/>
    </row>
    <row r="56" customFormat="false" ht="15" hidden="true" customHeight="true" outlineLevel="0" collapsed="false">
      <c r="A56" s="19" t="s">
        <v>41</v>
      </c>
      <c r="B56" s="19" t="s">
        <v>96</v>
      </c>
      <c r="C56" s="19" t="s">
        <v>98</v>
      </c>
      <c r="D56" s="20" t="n">
        <v>178.49</v>
      </c>
      <c r="E56" s="21" t="n">
        <v>0</v>
      </c>
      <c r="F56" s="20" t="n">
        <v>91.16</v>
      </c>
      <c r="G56" s="13" t="n">
        <v>22.97</v>
      </c>
      <c r="H56" s="13" t="n">
        <f aca="false">IF(D56="","",D56*(1-E56))</f>
        <v>178.49</v>
      </c>
      <c r="I56" s="12" t="n">
        <f aca="false">IF(OR(G56="",H56=""),"",G56/H56)</f>
        <v>0.128690682951426</v>
      </c>
      <c r="J56" s="13" t="n">
        <f aca="false">IF(OR(B56="",C56=""),"",INDEX(Ref_Frete!$B$2:$G$54,MATCH(C56,Ref_Frete!$A$2:$A$54,0),IF(B56="Pequenos",2,IF(B56="Medios",4,6))))</f>
        <v>16.9</v>
      </c>
      <c r="K56" s="13" t="n">
        <f aca="false">IF(OR(B56="",C56=""),"",INDEX(Ref_Frete!$B$2:$G$54,MATCH(C56,Ref_Frete!$A$2:$A$54,0),IF(B56="Pequenos",1,IF(B56="Medios",3,5))))</f>
        <v>30</v>
      </c>
      <c r="L56" s="13" t="n">
        <f aca="false">IF(OR(J56="",K56=""),"",J56-K56)</f>
        <v>-13.1</v>
      </c>
      <c r="M56" s="13" t="n">
        <f aca="false">IF(OR(H56="",F56="",G56=""),"",H56-G56-F56-H56*$B$3+IF(L56="",0,L56))</f>
        <v>33.411</v>
      </c>
      <c r="N56" s="12" t="n">
        <f aca="false">IF(OR(M56="",H56=0,H56=""),"",M56/H56)</f>
        <v>0.187186957252507</v>
      </c>
      <c r="O56" s="22" t="str">
        <f aca="false">IF(N56="","",IF(N56&lt;0,"PREJUÍZO",IF(N56&lt;0.1,"CRÍTICO (&lt;10%)",IF(N56&lt;0.15,"ABAIXO DA META (10-15%)",IF(N56&lt;=0.2,"DENTRO DA META (15-20%)","ACIMA DA META (&gt;20%)")))))</f>
        <v>DENTRO DA META (15-20%)</v>
      </c>
      <c r="P56" s="23"/>
    </row>
    <row r="57" customFormat="false" ht="15" hidden="true" customHeight="true" outlineLevel="0" collapsed="false">
      <c r="A57" s="19" t="s">
        <v>39</v>
      </c>
      <c r="B57" s="19" t="s">
        <v>96</v>
      </c>
      <c r="C57" s="19" t="s">
        <v>97</v>
      </c>
      <c r="D57" s="20" t="n">
        <v>186.36</v>
      </c>
      <c r="E57" s="21" t="n">
        <v>0</v>
      </c>
      <c r="F57" s="20" t="n">
        <v>96.11</v>
      </c>
      <c r="G57" s="13" t="n">
        <v>23.91</v>
      </c>
      <c r="H57" s="13" t="n">
        <f aca="false">IF(D57="","",D57*(1-E57))</f>
        <v>186.36</v>
      </c>
      <c r="I57" s="12" t="n">
        <f aca="false">IF(OR(G57="",H57=""),"",G57/H57)</f>
        <v>0.1283000643915</v>
      </c>
      <c r="J57" s="13" t="n">
        <f aca="false">IF(OR(B57="",C57=""),"",INDEX(Ref_Frete!$B$2:$G$54,MATCH(C57,Ref_Frete!$A$2:$A$54,0),IF(B57="Pequenos",2,IF(B57="Medios",4,6))))</f>
        <v>24.9</v>
      </c>
      <c r="K57" s="13" t="n">
        <f aca="false">IF(OR(B57="",C57=""),"",INDEX(Ref_Frete!$B$2:$G$54,MATCH(C57,Ref_Frete!$A$2:$A$54,0),IF(B57="Pequenos",1,IF(B57="Medios",3,5))))</f>
        <v>46.5</v>
      </c>
      <c r="L57" s="13" t="n">
        <f aca="false">IF(OR(J57="",K57=""),"",J57-K57)</f>
        <v>-21.6</v>
      </c>
      <c r="M57" s="13" t="n">
        <f aca="false">IF(OR(H57="",F57="",G57=""),"",H57-G57-F57-H57*$B$3+IF(L57="",0,L57))</f>
        <v>26.104</v>
      </c>
      <c r="N57" s="12" t="n">
        <f aca="false">IF(OR(M57="",H57=0,H57=""),"",M57/H57)</f>
        <v>0.140072977033698</v>
      </c>
      <c r="O57" s="22" t="str">
        <f aca="false">IF(N57="","",IF(N57&lt;0,"PREJUÍZO",IF(N57&lt;0.1,"CRÍTICO (&lt;10%)",IF(N57&lt;0.15,"ABAIXO DA META (10-15%)",IF(N57&lt;=0.2,"DENTRO DA META (15-20%)","ACIMA DA META (&gt;20%)")))))</f>
        <v>ABAIXO DA META (10-15%)</v>
      </c>
      <c r="P57" s="23"/>
    </row>
    <row r="58" customFormat="false" ht="15" hidden="true" customHeight="true" outlineLevel="0" collapsed="false">
      <c r="A58" s="19" t="s">
        <v>39</v>
      </c>
      <c r="B58" s="19" t="s">
        <v>96</v>
      </c>
      <c r="C58" s="19" t="s">
        <v>98</v>
      </c>
      <c r="D58" s="20" t="n">
        <v>186.36</v>
      </c>
      <c r="E58" s="21" t="n">
        <v>0</v>
      </c>
      <c r="F58" s="20" t="n">
        <v>96.11</v>
      </c>
      <c r="G58" s="13" t="n">
        <v>23.91</v>
      </c>
      <c r="H58" s="13" t="n">
        <f aca="false">IF(D58="","",D58*(1-E58))</f>
        <v>186.36</v>
      </c>
      <c r="I58" s="12" t="n">
        <f aca="false">IF(OR(G58="",H58=""),"",G58/H58)</f>
        <v>0.1283000643915</v>
      </c>
      <c r="J58" s="13" t="n">
        <f aca="false">IF(OR(B58="",C58=""),"",INDEX(Ref_Frete!$B$2:$G$54,MATCH(C58,Ref_Frete!$A$2:$A$54,0),IF(B58="Pequenos",2,IF(B58="Medios",4,6))))</f>
        <v>16.9</v>
      </c>
      <c r="K58" s="13" t="n">
        <f aca="false">IF(OR(B58="",C58=""),"",INDEX(Ref_Frete!$B$2:$G$54,MATCH(C58,Ref_Frete!$A$2:$A$54,0),IF(B58="Pequenos",1,IF(B58="Medios",3,5))))</f>
        <v>30</v>
      </c>
      <c r="L58" s="13" t="n">
        <f aca="false">IF(OR(J58="",K58=""),"",J58-K58)</f>
        <v>-13.1</v>
      </c>
      <c r="M58" s="13" t="n">
        <f aca="false">IF(OR(H58="",F58="",G58=""),"",H58-G58-F58-H58*$B$3+IF(L58="",0,L58))</f>
        <v>34.604</v>
      </c>
      <c r="N58" s="12" t="n">
        <f aca="false">IF(OR(M58="",H58=0,H58=""),"",M58/H58)</f>
        <v>0.185683623095085</v>
      </c>
      <c r="O58" s="22" t="str">
        <f aca="false">IF(N58="","",IF(N58&lt;0,"PREJUÍZO",IF(N58&lt;0.1,"CRÍTICO (&lt;10%)",IF(N58&lt;0.15,"ABAIXO DA META (10-15%)",IF(N58&lt;=0.2,"DENTRO DA META (15-20%)","ACIMA DA META (&gt;20%)")))))</f>
        <v>DENTRO DA META (15-20%)</v>
      </c>
      <c r="P58" s="23"/>
    </row>
    <row r="59" customFormat="false" ht="15" hidden="true" customHeight="true" outlineLevel="0" collapsed="false">
      <c r="A59" s="19" t="s">
        <v>36</v>
      </c>
      <c r="B59" s="19" t="s">
        <v>96</v>
      </c>
      <c r="C59" s="19" t="s">
        <v>97</v>
      </c>
      <c r="D59" s="20" t="n">
        <v>198.03</v>
      </c>
      <c r="E59" s="21" t="n">
        <v>0</v>
      </c>
      <c r="F59" s="20" t="n">
        <v>103.42</v>
      </c>
      <c r="G59" s="13" t="n">
        <v>25.31</v>
      </c>
      <c r="H59" s="13" t="n">
        <f aca="false">IF(D59="","",D59*(1-E59))</f>
        <v>198.03</v>
      </c>
      <c r="I59" s="12" t="n">
        <f aca="false">IF(OR(G59="",H59=""),"",G59/H59)</f>
        <v>0.127808917840731</v>
      </c>
      <c r="J59" s="13" t="n">
        <f aca="false">IF(OR(B59="",C59=""),"",INDEX(Ref_Frete!$B$2:$G$54,MATCH(C59,Ref_Frete!$A$2:$A$54,0),IF(B59="Pequenos",2,IF(B59="Medios",4,6))))</f>
        <v>24.9</v>
      </c>
      <c r="K59" s="13" t="n">
        <f aca="false">IF(OR(B59="",C59=""),"",INDEX(Ref_Frete!$B$2:$G$54,MATCH(C59,Ref_Frete!$A$2:$A$54,0),IF(B59="Pequenos",1,IF(B59="Medios",3,5))))</f>
        <v>46.5</v>
      </c>
      <c r="L59" s="13" t="n">
        <f aca="false">IF(OR(J59="",K59=""),"",J59-K59)</f>
        <v>-21.6</v>
      </c>
      <c r="M59" s="13" t="n">
        <f aca="false">IF(OR(H59="",F59="",G59=""),"",H59-G59-F59-H59*$B$3+IF(L59="",0,L59))</f>
        <v>27.897</v>
      </c>
      <c r="N59" s="12" t="n">
        <f aca="false">IF(OR(M59="",H59=0,H59=""),"",M59/H59)</f>
        <v>0.140872595061354</v>
      </c>
      <c r="O59" s="22" t="str">
        <f aca="false">IF(N59="","",IF(N59&lt;0,"PREJUÍZO",IF(N59&lt;0.1,"CRÍTICO (&lt;10%)",IF(N59&lt;0.15,"ABAIXO DA META (10-15%)",IF(N59&lt;=0.2,"DENTRO DA META (15-20%)","ACIMA DA META (&gt;20%)")))))</f>
        <v>ABAIXO DA META (10-15%)</v>
      </c>
      <c r="P59" s="23"/>
    </row>
    <row r="60" customFormat="false" ht="15" hidden="true" customHeight="true" outlineLevel="0" collapsed="false">
      <c r="A60" s="19" t="s">
        <v>36</v>
      </c>
      <c r="B60" s="19" t="s">
        <v>96</v>
      </c>
      <c r="C60" s="19" t="s">
        <v>98</v>
      </c>
      <c r="D60" s="20" t="n">
        <v>198.03</v>
      </c>
      <c r="E60" s="21" t="n">
        <v>0</v>
      </c>
      <c r="F60" s="20" t="n">
        <v>103.42</v>
      </c>
      <c r="G60" s="13" t="n">
        <v>25.31</v>
      </c>
      <c r="H60" s="13" t="n">
        <f aca="false">IF(D60="","",D60*(1-E60))</f>
        <v>198.03</v>
      </c>
      <c r="I60" s="12" t="n">
        <f aca="false">IF(OR(G60="",H60=""),"",G60/H60)</f>
        <v>0.127808917840731</v>
      </c>
      <c r="J60" s="13" t="n">
        <f aca="false">IF(OR(B60="",C60=""),"",INDEX(Ref_Frete!$B$2:$G$54,MATCH(C60,Ref_Frete!$A$2:$A$54,0),IF(B60="Pequenos",2,IF(B60="Medios",4,6))))</f>
        <v>16.9</v>
      </c>
      <c r="K60" s="13" t="n">
        <f aca="false">IF(OR(B60="",C60=""),"",INDEX(Ref_Frete!$B$2:$G$54,MATCH(C60,Ref_Frete!$A$2:$A$54,0),IF(B60="Pequenos",1,IF(B60="Medios",3,5))))</f>
        <v>30</v>
      </c>
      <c r="L60" s="13" t="n">
        <f aca="false">IF(OR(J60="",K60=""),"",J60-K60)</f>
        <v>-13.1</v>
      </c>
      <c r="M60" s="13" t="n">
        <f aca="false">IF(OR(H60="",F60="",G60=""),"",H60-G60-F60-H60*$B$3+IF(L60="",0,L60))</f>
        <v>36.397</v>
      </c>
      <c r="N60" s="12" t="n">
        <f aca="false">IF(OR(M60="",H60=0,H60=""),"",M60/H60)</f>
        <v>0.183795384537696</v>
      </c>
      <c r="O60" s="22" t="str">
        <f aca="false">IF(N60="","",IF(N60&lt;0,"PREJUÍZO",IF(N60&lt;0.1,"CRÍTICO (&lt;10%)",IF(N60&lt;0.15,"ABAIXO DA META (10-15%)",IF(N60&lt;=0.2,"DENTRO DA META (15-20%)","ACIMA DA META (&gt;20%)")))))</f>
        <v>DENTRO DA META (15-20%)</v>
      </c>
      <c r="P60" s="23"/>
    </row>
    <row r="61" customFormat="false" ht="15" hidden="true" customHeight="true" outlineLevel="0" collapsed="false">
      <c r="A61" s="19" t="s">
        <v>112</v>
      </c>
      <c r="B61" s="19" t="s">
        <v>96</v>
      </c>
      <c r="C61" s="19" t="s">
        <v>97</v>
      </c>
      <c r="D61" s="20" t="n">
        <v>202.69</v>
      </c>
      <c r="E61" s="21" t="n">
        <v>0</v>
      </c>
      <c r="F61" s="20" t="n">
        <v>102.19</v>
      </c>
      <c r="G61" s="13" t="n">
        <v>25.87</v>
      </c>
      <c r="H61" s="13" t="n">
        <f aca="false">IF(D61="","",D61*(1-E61))</f>
        <v>202.69</v>
      </c>
      <c r="I61" s="12" t="n">
        <f aca="false">IF(OR(G61="",H61=""),"",G61/H61)</f>
        <v>0.127633331688786</v>
      </c>
      <c r="J61" s="13" t="n">
        <f aca="false">IF(OR(B61="",C61=""),"",INDEX(Ref_Frete!$B$2:$G$54,MATCH(C61,Ref_Frete!$A$2:$A$54,0),IF(B61="Pequenos",2,IF(B61="Medios",4,6))))</f>
        <v>24.9</v>
      </c>
      <c r="K61" s="13" t="n">
        <f aca="false">IF(OR(B61="",C61=""),"",INDEX(Ref_Frete!$B$2:$G$54,MATCH(C61,Ref_Frete!$A$2:$A$54,0),IF(B61="Pequenos",1,IF(B61="Medios",3,5))))</f>
        <v>46.5</v>
      </c>
      <c r="L61" s="13" t="n">
        <f aca="false">IF(OR(J61="",K61=""),"",J61-K61)</f>
        <v>-21.6</v>
      </c>
      <c r="M61" s="13" t="n">
        <f aca="false">IF(OR(H61="",F61="",G61=""),"",H61-G61-F61-H61*$B$3+IF(L61="",0,L61))</f>
        <v>32.761</v>
      </c>
      <c r="N61" s="12" t="n">
        <f aca="false">IF(OR(M61="",H61=0,H61=""),"",M61/H61)</f>
        <v>0.161631062213232</v>
      </c>
      <c r="O61" s="22" t="str">
        <f aca="false">IF(N61="","",IF(N61&lt;0,"PREJUÍZO",IF(N61&lt;0.1,"CRÍTICO (&lt;10%)",IF(N61&lt;0.15,"ABAIXO DA META (10-15%)",IF(N61&lt;=0.2,"DENTRO DA META (15-20%)","ACIMA DA META (&gt;20%)")))))</f>
        <v>DENTRO DA META (15-20%)</v>
      </c>
      <c r="P61" s="23"/>
    </row>
    <row r="62" customFormat="false" ht="15" hidden="false" customHeight="true" outlineLevel="0" collapsed="false">
      <c r="A62" s="19" t="s">
        <v>112</v>
      </c>
      <c r="B62" s="19" t="s">
        <v>96</v>
      </c>
      <c r="C62" s="19" t="s">
        <v>98</v>
      </c>
      <c r="D62" s="20" t="n">
        <v>202.69</v>
      </c>
      <c r="E62" s="21" t="n">
        <v>0</v>
      </c>
      <c r="F62" s="20" t="n">
        <v>102.19</v>
      </c>
      <c r="G62" s="13" t="n">
        <v>25.87</v>
      </c>
      <c r="H62" s="13" t="n">
        <f aca="false">IF(D62="","",D62*(1-E62))</f>
        <v>202.69</v>
      </c>
      <c r="I62" s="12" t="n">
        <f aca="false">IF(OR(G62="",H62=""),"",G62/H62)</f>
        <v>0.127633331688786</v>
      </c>
      <c r="J62" s="13" t="n">
        <f aca="false">IF(OR(B62="",C62=""),"",INDEX(Ref_Frete!$B$2:$G$54,MATCH(C62,Ref_Frete!$A$2:$A$54,0),IF(B62="Pequenos",2,IF(B62="Medios",4,6))))</f>
        <v>16.9</v>
      </c>
      <c r="K62" s="13" t="n">
        <f aca="false">IF(OR(B62="",C62=""),"",INDEX(Ref_Frete!$B$2:$G$54,MATCH(C62,Ref_Frete!$A$2:$A$54,0),IF(B62="Pequenos",1,IF(B62="Medios",3,5))))</f>
        <v>30</v>
      </c>
      <c r="L62" s="13" t="n">
        <f aca="false">IF(OR(J62="",K62=""),"",J62-K62)</f>
        <v>-13.1</v>
      </c>
      <c r="M62" s="13" t="n">
        <f aca="false">IF(OR(H62="",F62="",G62=""),"",H62-G62-F62-H62*$B$3+IF(L62="",0,L62))</f>
        <v>41.261</v>
      </c>
      <c r="N62" s="12" t="n">
        <f aca="false">IF(OR(M62="",H62=0,H62=""),"",M62/H62)</f>
        <v>0.203567023533475</v>
      </c>
      <c r="O62" s="22" t="str">
        <f aca="false">IF(N62="","",IF(N62&lt;0,"PREJUÍZO",IF(N62&lt;0.1,"CRÍTICO (&lt;10%)",IF(N62&lt;0.15,"ABAIXO DA META (10-15%)",IF(N62&lt;=0.2,"DENTRO DA META (15-20%)","ACIMA DA META (&gt;20%)")))))</f>
        <v>ACIMA DA META (&gt;20%)</v>
      </c>
      <c r="P62" s="23"/>
    </row>
    <row r="63" customFormat="false" ht="15" hidden="true" customHeight="true" outlineLevel="0" collapsed="false">
      <c r="A63" s="19" t="s">
        <v>113</v>
      </c>
      <c r="B63" s="19" t="s">
        <v>96</v>
      </c>
      <c r="C63" s="19" t="s">
        <v>97</v>
      </c>
      <c r="D63" s="20" t="n">
        <v>228.04</v>
      </c>
      <c r="E63" s="21" t="n">
        <v>0</v>
      </c>
      <c r="F63" s="20" t="n">
        <v>113.2</v>
      </c>
      <c r="G63" s="13" t="n">
        <v>28.91</v>
      </c>
      <c r="H63" s="13" t="n">
        <f aca="false">IF(D63="","",D63*(1-E63))</f>
        <v>228.04</v>
      </c>
      <c r="I63" s="12" t="n">
        <f aca="false">IF(OR(G63="",H63=""),"",G63/H63)</f>
        <v>0.126776004209788</v>
      </c>
      <c r="J63" s="13" t="n">
        <f aca="false">IF(OR(B63="",C63=""),"",INDEX(Ref_Frete!$B$2:$G$54,MATCH(C63,Ref_Frete!$A$2:$A$54,0),IF(B63="Pequenos",2,IF(B63="Medios",4,6))))</f>
        <v>24.9</v>
      </c>
      <c r="K63" s="13" t="n">
        <f aca="false">IF(OR(B63="",C63=""),"",INDEX(Ref_Frete!$B$2:$G$54,MATCH(C63,Ref_Frete!$A$2:$A$54,0),IF(B63="Pequenos",1,IF(B63="Medios",3,5))))</f>
        <v>46.5</v>
      </c>
      <c r="L63" s="13" t="n">
        <f aca="false">IF(OR(J63="",K63=""),"",J63-K63)</f>
        <v>-21.6</v>
      </c>
      <c r="M63" s="13" t="n">
        <f aca="false">IF(OR(H63="",F63="",G63=""),"",H63-G63-F63-H63*$B$3+IF(L63="",0,L63))</f>
        <v>41.526</v>
      </c>
      <c r="N63" s="12" t="n">
        <f aca="false">IF(OR(M63="",H63=0,H63=""),"",M63/H63)</f>
        <v>0.182099631643571</v>
      </c>
      <c r="O63" s="22" t="str">
        <f aca="false">IF(N63="","",IF(N63&lt;0,"PREJUÍZO",IF(N63&lt;0.1,"CRÍTICO (&lt;10%)",IF(N63&lt;0.15,"ABAIXO DA META (10-15%)",IF(N63&lt;=0.2,"DENTRO DA META (15-20%)","ACIMA DA META (&gt;20%)")))))</f>
        <v>DENTRO DA META (15-20%)</v>
      </c>
      <c r="P63" s="23"/>
    </row>
    <row r="64" customFormat="false" ht="15" hidden="false" customHeight="true" outlineLevel="0" collapsed="false">
      <c r="A64" s="19" t="s">
        <v>113</v>
      </c>
      <c r="B64" s="19" t="s">
        <v>96</v>
      </c>
      <c r="C64" s="19" t="s">
        <v>98</v>
      </c>
      <c r="D64" s="20" t="n">
        <v>228.04</v>
      </c>
      <c r="E64" s="21" t="n">
        <v>0</v>
      </c>
      <c r="F64" s="20" t="n">
        <v>113.2</v>
      </c>
      <c r="G64" s="13" t="n">
        <v>28.91</v>
      </c>
      <c r="H64" s="13" t="n">
        <f aca="false">IF(D64="","",D64*(1-E64))</f>
        <v>228.04</v>
      </c>
      <c r="I64" s="12" t="n">
        <f aca="false">IF(OR(G64="",H64=""),"",G64/H64)</f>
        <v>0.126776004209788</v>
      </c>
      <c r="J64" s="13" t="n">
        <f aca="false">IF(OR(B64="",C64=""),"",INDEX(Ref_Frete!$B$2:$G$54,MATCH(C64,Ref_Frete!$A$2:$A$54,0),IF(B64="Pequenos",2,IF(B64="Medios",4,6))))</f>
        <v>16.9</v>
      </c>
      <c r="K64" s="13" t="n">
        <f aca="false">IF(OR(B64="",C64=""),"",INDEX(Ref_Frete!$B$2:$G$54,MATCH(C64,Ref_Frete!$A$2:$A$54,0),IF(B64="Pequenos",1,IF(B64="Medios",3,5))))</f>
        <v>30</v>
      </c>
      <c r="L64" s="13" t="n">
        <f aca="false">IF(OR(J64="",K64=""),"",J64-K64)</f>
        <v>-13.1</v>
      </c>
      <c r="M64" s="13" t="n">
        <f aca="false">IF(OR(H64="",F64="",G64=""),"",H64-G64-F64-H64*$B$3+IF(L64="",0,L64))</f>
        <v>50.026</v>
      </c>
      <c r="N64" s="12" t="n">
        <f aca="false">IF(OR(M64="",H64=0,H64=""),"",M64/H64)</f>
        <v>0.219373794071216</v>
      </c>
      <c r="O64" s="22" t="str">
        <f aca="false">IF(N64="","",IF(N64&lt;0,"PREJUÍZO",IF(N64&lt;0.1,"CRÍTICO (&lt;10%)",IF(N64&lt;0.15,"ABAIXO DA META (10-15%)",IF(N64&lt;=0.2,"DENTRO DA META (15-20%)","ACIMA DA META (&gt;20%)")))))</f>
        <v>ACIMA DA META (&gt;20%)</v>
      </c>
      <c r="P64" s="23"/>
    </row>
    <row r="65" customFormat="false" ht="15" hidden="true" customHeight="true" outlineLevel="0" collapsed="false">
      <c r="A65" s="19" t="s">
        <v>114</v>
      </c>
      <c r="B65" s="19" t="s">
        <v>96</v>
      </c>
      <c r="C65" s="19" t="s">
        <v>97</v>
      </c>
      <c r="D65" s="20" t="n">
        <v>231.66</v>
      </c>
      <c r="E65" s="21" t="n">
        <v>0</v>
      </c>
      <c r="F65" s="20" t="n">
        <v>120.51</v>
      </c>
      <c r="G65" s="13" t="n">
        <v>29.35</v>
      </c>
      <c r="H65" s="13" t="n">
        <f aca="false">IF(D65="","",D65*(1-E65))</f>
        <v>231.66</v>
      </c>
      <c r="I65" s="12" t="n">
        <f aca="false">IF(OR(G65="",H65=""),"",G65/H65)</f>
        <v>0.12669429336096</v>
      </c>
      <c r="J65" s="13" t="n">
        <f aca="false">IF(OR(B65="",C65=""),"",INDEX(Ref_Frete!$B$2:$G$54,MATCH(C65,Ref_Frete!$A$2:$A$54,0),IF(B65="Pequenos",2,IF(B65="Medios",4,6))))</f>
        <v>24.9</v>
      </c>
      <c r="K65" s="13" t="n">
        <f aca="false">IF(OR(B65="",C65=""),"",INDEX(Ref_Frete!$B$2:$G$54,MATCH(C65,Ref_Frete!$A$2:$A$54,0),IF(B65="Pequenos",1,IF(B65="Medios",3,5))))</f>
        <v>46.5</v>
      </c>
      <c r="L65" s="13" t="n">
        <f aca="false">IF(OR(J65="",K65=""),"",J65-K65)</f>
        <v>-21.6</v>
      </c>
      <c r="M65" s="13" t="n">
        <f aca="false">IF(OR(H65="",F65="",G65=""),"",H65-G65-F65-H65*$B$3+IF(L65="",0,L65))</f>
        <v>37.034</v>
      </c>
      <c r="N65" s="12" t="n">
        <f aca="false">IF(OR(M65="",H65=0,H65=""),"",M65/H65)</f>
        <v>0.159863593196927</v>
      </c>
      <c r="O65" s="22" t="str">
        <f aca="false">IF(N65="","",IF(N65&lt;0,"PREJUÍZO",IF(N65&lt;0.1,"CRÍTICO (&lt;10%)",IF(N65&lt;0.15,"ABAIXO DA META (10-15%)",IF(N65&lt;=0.2,"DENTRO DA META (15-20%)","ACIMA DA META (&gt;20%)")))))</f>
        <v>DENTRO DA META (15-20%)</v>
      </c>
      <c r="P65" s="23"/>
    </row>
    <row r="66" customFormat="false" ht="15" hidden="false" customHeight="true" outlineLevel="0" collapsed="false">
      <c r="A66" s="19" t="s">
        <v>114</v>
      </c>
      <c r="B66" s="19" t="s">
        <v>96</v>
      </c>
      <c r="C66" s="19" t="s">
        <v>98</v>
      </c>
      <c r="D66" s="20" t="n">
        <v>231.66</v>
      </c>
      <c r="E66" s="21" t="n">
        <v>0</v>
      </c>
      <c r="F66" s="20" t="n">
        <v>120.51</v>
      </c>
      <c r="G66" s="13" t="n">
        <v>29.35</v>
      </c>
      <c r="H66" s="13" t="n">
        <f aca="false">IF(D66="","",D66*(1-E66))</f>
        <v>231.66</v>
      </c>
      <c r="I66" s="12" t="n">
        <f aca="false">IF(OR(G66="",H66=""),"",G66/H66)</f>
        <v>0.12669429336096</v>
      </c>
      <c r="J66" s="13" t="n">
        <f aca="false">IF(OR(B66="",C66=""),"",INDEX(Ref_Frete!$B$2:$G$54,MATCH(C66,Ref_Frete!$A$2:$A$54,0),IF(B66="Pequenos",2,IF(B66="Medios",4,6))))</f>
        <v>16.9</v>
      </c>
      <c r="K66" s="13" t="n">
        <f aca="false">IF(OR(B66="",C66=""),"",INDEX(Ref_Frete!$B$2:$G$54,MATCH(C66,Ref_Frete!$A$2:$A$54,0),IF(B66="Pequenos",1,IF(B66="Medios",3,5))))</f>
        <v>30</v>
      </c>
      <c r="L66" s="13" t="n">
        <f aca="false">IF(OR(J66="",K66=""),"",J66-K66)</f>
        <v>-13.1</v>
      </c>
      <c r="M66" s="13" t="n">
        <f aca="false">IF(OR(H66="",F66="",G66=""),"",H66-G66-F66-H66*$B$3+IF(L66="",0,L66))</f>
        <v>45.534</v>
      </c>
      <c r="N66" s="12" t="n">
        <f aca="false">IF(OR(M66="",H66=0,H66=""),"",M66/H66)</f>
        <v>0.196555296555297</v>
      </c>
      <c r="O66" s="22" t="str">
        <f aca="false">IF(N66="","",IF(N66&lt;0,"PREJUÍZO",IF(N66&lt;0.1,"CRÍTICO (&lt;10%)",IF(N66&lt;0.15,"ABAIXO DA META (10-15%)",IF(N66&lt;=0.2,"DENTRO DA META (15-20%)","ACIMA DA META (&gt;20%)")))))</f>
        <v>DENTRO DA META (15-20%)</v>
      </c>
      <c r="P66" s="23"/>
    </row>
    <row r="67" customFormat="false" ht="15" hidden="true" customHeight="true" outlineLevel="0" collapsed="false">
      <c r="A67" s="19" t="s">
        <v>115</v>
      </c>
      <c r="B67" s="19" t="s">
        <v>96</v>
      </c>
      <c r="C67" s="19" t="s">
        <v>97</v>
      </c>
      <c r="D67" s="20" t="n">
        <v>319.58</v>
      </c>
      <c r="E67" s="21" t="n">
        <v>0</v>
      </c>
      <c r="F67" s="20" t="n">
        <v>156</v>
      </c>
      <c r="G67" s="13" t="n">
        <v>39.9</v>
      </c>
      <c r="H67" s="13" t="n">
        <f aca="false">IF(D67="","",D67*(1-E67))</f>
        <v>319.58</v>
      </c>
      <c r="I67" s="12" t="n">
        <f aca="false">IF(OR(G67="",H67=""),"",G67/H67)</f>
        <v>0.124851367419738</v>
      </c>
      <c r="J67" s="13" t="n">
        <f aca="false">IF(OR(B67="",C67=""),"",INDEX(Ref_Frete!$B$2:$G$54,MATCH(C67,Ref_Frete!$A$2:$A$54,0),IF(B67="Pequenos",2,IF(B67="Medios",4,6))))</f>
        <v>24.9</v>
      </c>
      <c r="K67" s="13" t="n">
        <f aca="false">IF(OR(B67="",C67=""),"",INDEX(Ref_Frete!$B$2:$G$54,MATCH(C67,Ref_Frete!$A$2:$A$54,0),IF(B67="Pequenos",1,IF(B67="Medios",3,5))))</f>
        <v>46.5</v>
      </c>
      <c r="L67" s="13" t="n">
        <f aca="false">IF(OR(J67="",K67=""),"",J67-K67)</f>
        <v>-21.6</v>
      </c>
      <c r="M67" s="13" t="n">
        <f aca="false">IF(OR(H67="",F67="",G67=""),"",H67-G67-F67-H67*$B$3+IF(L67="",0,L67))</f>
        <v>70.122</v>
      </c>
      <c r="N67" s="12" t="n">
        <f aca="false">IF(OR(M67="",H67=0,H67=""),"",M67/H67)</f>
        <v>0.219419237749546</v>
      </c>
      <c r="O67" s="22" t="str">
        <f aca="false">IF(N67="","",IF(N67&lt;0,"PREJUÍZO",IF(N67&lt;0.1,"CRÍTICO (&lt;10%)",IF(N67&lt;0.15,"ABAIXO DA META (10-15%)",IF(N67&lt;=0.2,"DENTRO DA META (15-20%)","ACIMA DA META (&gt;20%)")))))</f>
        <v>ACIMA DA META (&gt;20%)</v>
      </c>
      <c r="P67" s="23"/>
    </row>
    <row r="68" customFormat="false" ht="15" hidden="false" customHeight="true" outlineLevel="0" collapsed="false">
      <c r="A68" s="19" t="s">
        <v>115</v>
      </c>
      <c r="B68" s="19" t="s">
        <v>96</v>
      </c>
      <c r="C68" s="19" t="s">
        <v>98</v>
      </c>
      <c r="D68" s="20" t="n">
        <v>319.58</v>
      </c>
      <c r="E68" s="21" t="n">
        <v>0</v>
      </c>
      <c r="F68" s="20" t="n">
        <v>156</v>
      </c>
      <c r="G68" s="13" t="n">
        <v>39.9</v>
      </c>
      <c r="H68" s="13" t="n">
        <f aca="false">IF(D68="","",D68*(1-E68))</f>
        <v>319.58</v>
      </c>
      <c r="I68" s="12" t="n">
        <f aca="false">IF(OR(G68="",H68=""),"",G68/H68)</f>
        <v>0.124851367419738</v>
      </c>
      <c r="J68" s="13" t="n">
        <f aca="false">IF(OR(B68="",C68=""),"",INDEX(Ref_Frete!$B$2:$G$54,MATCH(C68,Ref_Frete!$A$2:$A$54,0),IF(B68="Pequenos",2,IF(B68="Medios",4,6))))</f>
        <v>16.9</v>
      </c>
      <c r="K68" s="13" t="n">
        <f aca="false">IF(OR(B68="",C68=""),"",INDEX(Ref_Frete!$B$2:$G$54,MATCH(C68,Ref_Frete!$A$2:$A$54,0),IF(B68="Pequenos",1,IF(B68="Medios",3,5))))</f>
        <v>30</v>
      </c>
      <c r="L68" s="13" t="n">
        <f aca="false">IF(OR(J68="",K68=""),"",J68-K68)</f>
        <v>-13.1</v>
      </c>
      <c r="M68" s="13" t="n">
        <f aca="false">IF(OR(H68="",F68="",G68=""),"",H68-G68-F68-H68*$B$3+IF(L68="",0,L68))</f>
        <v>78.622</v>
      </c>
      <c r="N68" s="12" t="n">
        <f aca="false">IF(OR(M68="",H68=0,H68=""),"",M68/H68)</f>
        <v>0.246016646848989</v>
      </c>
      <c r="O68" s="22" t="str">
        <f aca="false">IF(N68="","",IF(N68&lt;0,"PREJUÍZO",IF(N68&lt;0.1,"CRÍTICO (&lt;10%)",IF(N68&lt;0.15,"ABAIXO DA META (10-15%)",IF(N68&lt;=0.2,"DENTRO DA META (15-20%)","ACIMA DA META (&gt;20%)")))))</f>
        <v>ACIMA DA META (&gt;20%)</v>
      </c>
      <c r="P68" s="23"/>
    </row>
    <row r="69" customFormat="false" ht="15" hidden="true" customHeight="true" outlineLevel="0" collapsed="false">
      <c r="A69" s="19" t="s">
        <v>116</v>
      </c>
      <c r="B69" s="19" t="s">
        <v>96</v>
      </c>
      <c r="C69" s="19" t="s">
        <v>97</v>
      </c>
      <c r="D69" s="20" t="n">
        <v>253.58</v>
      </c>
      <c r="E69" s="21" t="n">
        <v>0</v>
      </c>
      <c r="F69" s="20" t="n">
        <v>132.03</v>
      </c>
      <c r="G69" s="13" t="n">
        <v>31.98</v>
      </c>
      <c r="H69" s="13" t="n">
        <f aca="false">IF(D69="","",D69*(1-E69))</f>
        <v>253.58</v>
      </c>
      <c r="I69" s="12" t="n">
        <f aca="false">IF(OR(G69="",H69=""),"",G69/H69)</f>
        <v>0.126114046849121</v>
      </c>
      <c r="J69" s="13" t="n">
        <f aca="false">IF(OR(B69="",C69=""),"",INDEX(Ref_Frete!$B$2:$G$54,MATCH(C69,Ref_Frete!$A$2:$A$54,0),IF(B69="Pequenos",2,IF(B69="Medios",4,6))))</f>
        <v>24.9</v>
      </c>
      <c r="K69" s="13" t="n">
        <f aca="false">IF(OR(B69="",C69=""),"",INDEX(Ref_Frete!$B$2:$G$54,MATCH(C69,Ref_Frete!$A$2:$A$54,0),IF(B69="Pequenos",1,IF(B69="Medios",3,5))))</f>
        <v>46.5</v>
      </c>
      <c r="L69" s="13" t="n">
        <f aca="false">IF(OR(J69="",K69=""),"",J69-K69)</f>
        <v>-21.6</v>
      </c>
      <c r="M69" s="13" t="n">
        <f aca="false">IF(OR(H69="",F69="",G69=""),"",H69-G69-F69-H69*$B$3+IF(L69="",0,L69))</f>
        <v>42.612</v>
      </c>
      <c r="N69" s="12" t="n">
        <f aca="false">IF(OR(M69="",H69=0,H69=""),"",M69/H69)</f>
        <v>0.168041643662749</v>
      </c>
      <c r="O69" s="22" t="str">
        <f aca="false">IF(N69="","",IF(N69&lt;0,"PREJUÍZO",IF(N69&lt;0.1,"CRÍTICO (&lt;10%)",IF(N69&lt;0.15,"ABAIXO DA META (10-15%)",IF(N69&lt;=0.2,"DENTRO DA META (15-20%)","ACIMA DA META (&gt;20%)")))))</f>
        <v>DENTRO DA META (15-20%)</v>
      </c>
      <c r="P69" s="23"/>
    </row>
    <row r="70" customFormat="false" ht="15" hidden="false" customHeight="true" outlineLevel="0" collapsed="false">
      <c r="A70" s="19" t="s">
        <v>116</v>
      </c>
      <c r="B70" s="19" t="s">
        <v>96</v>
      </c>
      <c r="C70" s="19" t="s">
        <v>98</v>
      </c>
      <c r="D70" s="20" t="n">
        <v>253.58</v>
      </c>
      <c r="E70" s="21" t="n">
        <v>0</v>
      </c>
      <c r="F70" s="20" t="n">
        <v>132.03</v>
      </c>
      <c r="G70" s="13" t="n">
        <v>31.98</v>
      </c>
      <c r="H70" s="13" t="n">
        <f aca="false">IF(D70="","",D70*(1-E70))</f>
        <v>253.58</v>
      </c>
      <c r="I70" s="12" t="n">
        <f aca="false">IF(OR(G70="",H70=""),"",G70/H70)</f>
        <v>0.126114046849121</v>
      </c>
      <c r="J70" s="13" t="n">
        <f aca="false">IF(OR(B70="",C70=""),"",INDEX(Ref_Frete!$B$2:$G$54,MATCH(C70,Ref_Frete!$A$2:$A$54,0),IF(B70="Pequenos",2,IF(B70="Medios",4,6))))</f>
        <v>16.9</v>
      </c>
      <c r="K70" s="13" t="n">
        <f aca="false">IF(OR(B70="",C70=""),"",INDEX(Ref_Frete!$B$2:$G$54,MATCH(C70,Ref_Frete!$A$2:$A$54,0),IF(B70="Pequenos",1,IF(B70="Medios",3,5))))</f>
        <v>30</v>
      </c>
      <c r="L70" s="13" t="n">
        <f aca="false">IF(OR(J70="",K70=""),"",J70-K70)</f>
        <v>-13.1</v>
      </c>
      <c r="M70" s="13" t="n">
        <f aca="false">IF(OR(H70="",F70="",G70=""),"",H70-G70-F70-H70*$B$3+IF(L70="",0,L70))</f>
        <v>51.112</v>
      </c>
      <c r="N70" s="12" t="n">
        <f aca="false">IF(OR(M70="",H70=0,H70=""),"",M70/H70)</f>
        <v>0.201561637353104</v>
      </c>
      <c r="O70" s="22" t="str">
        <f aca="false">IF(N70="","",IF(N70&lt;0,"PREJUÍZO",IF(N70&lt;0.1,"CRÍTICO (&lt;10%)",IF(N70&lt;0.15,"ABAIXO DA META (10-15%)",IF(N70&lt;=0.2,"DENTRO DA META (15-20%)","ACIMA DA META (&gt;20%)")))))</f>
        <v>ACIMA DA META (&gt;20%)</v>
      </c>
      <c r="P70" s="23"/>
    </row>
    <row r="71" customFormat="false" ht="15" hidden="true" customHeight="true" outlineLevel="0" collapsed="false">
      <c r="A71" s="19" t="s">
        <v>38</v>
      </c>
      <c r="B71" s="19" t="s">
        <v>96</v>
      </c>
      <c r="C71" s="19" t="s">
        <v>97</v>
      </c>
      <c r="D71" s="20" t="n">
        <v>259.9</v>
      </c>
      <c r="E71" s="21" t="n">
        <v>0</v>
      </c>
      <c r="F71" s="20" t="n">
        <v>139.49</v>
      </c>
      <c r="G71" s="13" t="n">
        <v>33.17</v>
      </c>
      <c r="H71" s="13" t="n">
        <f aca="false">IF(D71="","",D71*(1-E71))</f>
        <v>259.9</v>
      </c>
      <c r="I71" s="12" t="n">
        <f aca="false">IF(OR(G71="",H71=""),"",G71/H71)</f>
        <v>0.127626010003848</v>
      </c>
      <c r="J71" s="13" t="n">
        <f aca="false">IF(OR(B71="",C71=""),"",INDEX(Ref_Frete!$B$2:$G$54,MATCH(C71,Ref_Frete!$A$2:$A$54,0),IF(B71="Pequenos",2,IF(B71="Medios",4,6))))</f>
        <v>24.9</v>
      </c>
      <c r="K71" s="13" t="n">
        <f aca="false">IF(OR(B71="",C71=""),"",INDEX(Ref_Frete!$B$2:$G$54,MATCH(C71,Ref_Frete!$A$2:$A$54,0),IF(B71="Pequenos",1,IF(B71="Medios",3,5))))</f>
        <v>46.5</v>
      </c>
      <c r="L71" s="13" t="n">
        <f aca="false">IF(OR(J71="",K71=""),"",J71-K71)</f>
        <v>-21.6</v>
      </c>
      <c r="M71" s="13" t="n">
        <f aca="false">IF(OR(H71="",F71="",G71=""),"",H71-G71-F71-H71*$B$3+IF(L71="",0,L71))</f>
        <v>39.65</v>
      </c>
      <c r="N71" s="12" t="n">
        <f aca="false">IF(OR(M71="",H71=0,H71=""),"",M71/H71)</f>
        <v>0.152558676414005</v>
      </c>
      <c r="O71" s="22" t="str">
        <f aca="false">IF(N71="","",IF(N71&lt;0,"PREJUÍZO",IF(N71&lt;0.1,"CRÍTICO (&lt;10%)",IF(N71&lt;0.15,"ABAIXO DA META (10-15%)",IF(N71&lt;=0.2,"DENTRO DA META (15-20%)","ACIMA DA META (&gt;20%)")))))</f>
        <v>DENTRO DA META (15-20%)</v>
      </c>
      <c r="P71" s="23"/>
    </row>
    <row r="72" customFormat="false" ht="15" hidden="true" customHeight="true" outlineLevel="0" collapsed="false">
      <c r="A72" s="19" t="s">
        <v>38</v>
      </c>
      <c r="B72" s="19" t="s">
        <v>96</v>
      </c>
      <c r="C72" s="19" t="s">
        <v>98</v>
      </c>
      <c r="D72" s="20" t="n">
        <v>259.9</v>
      </c>
      <c r="E72" s="21" t="n">
        <v>0</v>
      </c>
      <c r="F72" s="20" t="n">
        <v>139.49</v>
      </c>
      <c r="G72" s="13" t="n">
        <v>33.17</v>
      </c>
      <c r="H72" s="13" t="n">
        <f aca="false">IF(D72="","",D72*(1-E72))</f>
        <v>259.9</v>
      </c>
      <c r="I72" s="12" t="n">
        <f aca="false">IF(OR(G72="",H72=""),"",G72/H72)</f>
        <v>0.127626010003848</v>
      </c>
      <c r="J72" s="13" t="n">
        <f aca="false">IF(OR(B72="",C72=""),"",INDEX(Ref_Frete!$B$2:$G$54,MATCH(C72,Ref_Frete!$A$2:$A$54,0),IF(B72="Pequenos",2,IF(B72="Medios",4,6))))</f>
        <v>16.9</v>
      </c>
      <c r="K72" s="13" t="n">
        <f aca="false">IF(OR(B72="",C72=""),"",INDEX(Ref_Frete!$B$2:$G$54,MATCH(C72,Ref_Frete!$A$2:$A$54,0),IF(B72="Pequenos",1,IF(B72="Medios",3,5))))</f>
        <v>30</v>
      </c>
      <c r="L72" s="13" t="n">
        <f aca="false">IF(OR(J72="",K72=""),"",J72-K72)</f>
        <v>-13.1</v>
      </c>
      <c r="M72" s="13" t="n">
        <f aca="false">IF(OR(H72="",F72="",G72=""),"",H72-G72-F72-H72*$B$3+IF(L72="",0,L72))</f>
        <v>48.15</v>
      </c>
      <c r="N72" s="12" t="n">
        <f aca="false">IF(OR(M72="",H72=0,H72=""),"",M72/H72)</f>
        <v>0.185263562908811</v>
      </c>
      <c r="O72" s="22" t="str">
        <f aca="false">IF(N72="","",IF(N72&lt;0,"PREJUÍZO",IF(N72&lt;0.1,"CRÍTICO (&lt;10%)",IF(N72&lt;0.15,"ABAIXO DA META (10-15%)",IF(N72&lt;=0.2,"DENTRO DA META (15-20%)","ACIMA DA META (&gt;20%)")))))</f>
        <v>DENTRO DA META (15-20%)</v>
      </c>
      <c r="P72" s="23"/>
    </row>
    <row r="73" customFormat="false" ht="15" hidden="true" customHeight="true" outlineLevel="0" collapsed="false">
      <c r="A73" s="19" t="s">
        <v>117</v>
      </c>
      <c r="B73" s="19" t="s">
        <v>96</v>
      </c>
      <c r="C73" s="19" t="s">
        <v>97</v>
      </c>
      <c r="D73" s="20" t="n">
        <v>284.39</v>
      </c>
      <c r="E73" s="21" t="n">
        <v>0</v>
      </c>
      <c r="F73" s="20" t="n">
        <v>151.31</v>
      </c>
      <c r="G73" s="13" t="n">
        <v>35.67</v>
      </c>
      <c r="H73" s="13" t="n">
        <f aca="false">IF(D73="","",D73*(1-E73))</f>
        <v>284.39</v>
      </c>
      <c r="I73" s="12" t="n">
        <f aca="false">IF(OR(G73="",H73=""),"",G73/H73)</f>
        <v>0.125426351137522</v>
      </c>
      <c r="J73" s="13" t="n">
        <f aca="false">IF(OR(B73="",C73=""),"",INDEX(Ref_Frete!$B$2:$G$54,MATCH(C73,Ref_Frete!$A$2:$A$54,0),IF(B73="Pequenos",2,IF(B73="Medios",4,6))))</f>
        <v>24.9</v>
      </c>
      <c r="K73" s="13" t="n">
        <f aca="false">IF(OR(B73="",C73=""),"",INDEX(Ref_Frete!$B$2:$G$54,MATCH(C73,Ref_Frete!$A$2:$A$54,0),IF(B73="Pequenos",1,IF(B73="Medios",3,5))))</f>
        <v>46.5</v>
      </c>
      <c r="L73" s="13" t="n">
        <f aca="false">IF(OR(J73="",K73=""),"",J73-K73)</f>
        <v>-21.6</v>
      </c>
      <c r="M73" s="13" t="n">
        <f aca="false">IF(OR(H73="",F73="",G73=""),"",H73-G73-F73-H73*$B$3+IF(L73="",0,L73))</f>
        <v>47.371</v>
      </c>
      <c r="N73" s="12" t="n">
        <f aca="false">IF(OR(M73="",H73=0,H73=""),"",M73/H73)</f>
        <v>0.166570554520201</v>
      </c>
      <c r="O73" s="22" t="str">
        <f aca="false">IF(N73="","",IF(N73&lt;0,"PREJUÍZO",IF(N73&lt;0.1,"CRÍTICO (&lt;10%)",IF(N73&lt;0.15,"ABAIXO DA META (10-15%)",IF(N73&lt;=0.2,"DENTRO DA META (15-20%)","ACIMA DA META (&gt;20%)")))))</f>
        <v>DENTRO DA META (15-20%)</v>
      </c>
      <c r="P73" s="23"/>
    </row>
    <row r="74" customFormat="false" ht="15" hidden="false" customHeight="true" outlineLevel="0" collapsed="false">
      <c r="A74" s="19" t="s">
        <v>117</v>
      </c>
      <c r="B74" s="19" t="s">
        <v>96</v>
      </c>
      <c r="C74" s="19" t="s">
        <v>98</v>
      </c>
      <c r="D74" s="20" t="n">
        <v>284.39</v>
      </c>
      <c r="E74" s="21" t="n">
        <v>0</v>
      </c>
      <c r="F74" s="20" t="n">
        <v>151.31</v>
      </c>
      <c r="G74" s="13" t="n">
        <v>35.67</v>
      </c>
      <c r="H74" s="13" t="n">
        <f aca="false">IF(D74="","",D74*(1-E74))</f>
        <v>284.39</v>
      </c>
      <c r="I74" s="12" t="n">
        <f aca="false">IF(OR(G74="",H74=""),"",G74/H74)</f>
        <v>0.125426351137522</v>
      </c>
      <c r="J74" s="13" t="n">
        <f aca="false">IF(OR(B74="",C74=""),"",INDEX(Ref_Frete!$B$2:$G$54,MATCH(C74,Ref_Frete!$A$2:$A$54,0),IF(B74="Pequenos",2,IF(B74="Medios",4,6))))</f>
        <v>16.9</v>
      </c>
      <c r="K74" s="13" t="n">
        <f aca="false">IF(OR(B74="",C74=""),"",INDEX(Ref_Frete!$B$2:$G$54,MATCH(C74,Ref_Frete!$A$2:$A$54,0),IF(B74="Pequenos",1,IF(B74="Medios",3,5))))</f>
        <v>30</v>
      </c>
      <c r="L74" s="13" t="n">
        <f aca="false">IF(OR(J74="",K74=""),"",J74-K74)</f>
        <v>-13.1</v>
      </c>
      <c r="M74" s="13" t="n">
        <f aca="false">IF(OR(H74="",F74="",G74=""),"",H74-G74-F74-H74*$B$3+IF(L74="",0,L74))</f>
        <v>55.871</v>
      </c>
      <c r="N74" s="12" t="n">
        <f aca="false">IF(OR(M74="",H74=0,H74=""),"",M74/H74)</f>
        <v>0.196459087872288</v>
      </c>
      <c r="O74" s="22" t="str">
        <f aca="false">IF(N74="","",IF(N74&lt;0,"PREJUÍZO",IF(N74&lt;0.1,"CRÍTICO (&lt;10%)",IF(N74&lt;0.15,"ABAIXO DA META (10-15%)",IF(N74&lt;=0.2,"DENTRO DA META (15-20%)","ACIMA DA META (&gt;20%)")))))</f>
        <v>DENTRO DA META (15-20%)</v>
      </c>
      <c r="P74" s="23"/>
    </row>
    <row r="75" customFormat="false" ht="15" hidden="true" customHeight="true" outlineLevel="0" collapsed="false">
      <c r="A75" s="19" t="s">
        <v>118</v>
      </c>
      <c r="B75" s="19" t="s">
        <v>96</v>
      </c>
      <c r="C75" s="19" t="s">
        <v>97</v>
      </c>
      <c r="D75" s="20" t="n">
        <v>165.4</v>
      </c>
      <c r="E75" s="21" t="n">
        <v>0</v>
      </c>
      <c r="F75" s="20" t="n">
        <v>81.62</v>
      </c>
      <c r="G75" s="13" t="n">
        <v>21.4</v>
      </c>
      <c r="H75" s="13" t="n">
        <f aca="false">IF(D75="","",D75*(1-E75))</f>
        <v>165.4</v>
      </c>
      <c r="I75" s="12" t="n">
        <f aca="false">IF(OR(G75="",H75=""),"",G75/H75)</f>
        <v>0.129383313180169</v>
      </c>
      <c r="J75" s="13" t="n">
        <f aca="false">IF(OR(B75="",C75=""),"",INDEX(Ref_Frete!$B$2:$G$54,MATCH(C75,Ref_Frete!$A$2:$A$54,0),IF(B75="Pequenos",2,IF(B75="Medios",4,6))))</f>
        <v>24.9</v>
      </c>
      <c r="K75" s="13" t="n">
        <f aca="false">IF(OR(B75="",C75=""),"",INDEX(Ref_Frete!$B$2:$G$54,MATCH(C75,Ref_Frete!$A$2:$A$54,0),IF(B75="Pequenos",1,IF(B75="Medios",3,5))))</f>
        <v>46.5</v>
      </c>
      <c r="L75" s="13" t="n">
        <f aca="false">IF(OR(J75="",K75=""),"",J75-K75)</f>
        <v>-21.6</v>
      </c>
      <c r="M75" s="13" t="n">
        <f aca="false">IF(OR(H75="",F75="",G75=""),"",H75-G75-F75-H75*$B$3+IF(L75="",0,L75))</f>
        <v>24.24</v>
      </c>
      <c r="N75" s="12" t="n">
        <f aca="false">IF(OR(M75="",H75=0,H75=""),"",M75/H75)</f>
        <v>0.146553808948005</v>
      </c>
      <c r="O75" s="22" t="str">
        <f aca="false">IF(N75="","",IF(N75&lt;0,"PREJUÍZO",IF(N75&lt;0.1,"CRÍTICO (&lt;10%)",IF(N75&lt;0.15,"ABAIXO DA META (10-15%)",IF(N75&lt;=0.2,"DENTRO DA META (15-20%)","ACIMA DA META (&gt;20%)")))))</f>
        <v>ABAIXO DA META (10-15%)</v>
      </c>
      <c r="P75" s="23"/>
    </row>
    <row r="76" customFormat="false" ht="15" hidden="false" customHeight="true" outlineLevel="0" collapsed="false">
      <c r="A76" s="19" t="s">
        <v>118</v>
      </c>
      <c r="B76" s="19" t="s">
        <v>96</v>
      </c>
      <c r="C76" s="19" t="s">
        <v>98</v>
      </c>
      <c r="D76" s="20" t="n">
        <v>165.4</v>
      </c>
      <c r="E76" s="21" t="n">
        <v>0</v>
      </c>
      <c r="F76" s="20" t="n">
        <v>81.62</v>
      </c>
      <c r="G76" s="13" t="n">
        <v>21.4</v>
      </c>
      <c r="H76" s="13" t="n">
        <f aca="false">IF(D76="","",D76*(1-E76))</f>
        <v>165.4</v>
      </c>
      <c r="I76" s="12" t="n">
        <f aca="false">IF(OR(G76="",H76=""),"",G76/H76)</f>
        <v>0.129383313180169</v>
      </c>
      <c r="J76" s="13" t="n">
        <f aca="false">IF(OR(B76="",C76=""),"",INDEX(Ref_Frete!$B$2:$G$54,MATCH(C76,Ref_Frete!$A$2:$A$54,0),IF(B76="Pequenos",2,IF(B76="Medios",4,6))))</f>
        <v>16.9</v>
      </c>
      <c r="K76" s="13" t="n">
        <f aca="false">IF(OR(B76="",C76=""),"",INDEX(Ref_Frete!$B$2:$G$54,MATCH(C76,Ref_Frete!$A$2:$A$54,0),IF(B76="Pequenos",1,IF(B76="Medios",3,5))))</f>
        <v>30</v>
      </c>
      <c r="L76" s="13" t="n">
        <f aca="false">IF(OR(J76="",K76=""),"",J76-K76)</f>
        <v>-13.1</v>
      </c>
      <c r="M76" s="13" t="n">
        <f aca="false">IF(OR(H76="",F76="",G76=""),"",H76-G76-F76-H76*$B$3+IF(L76="",0,L76))</f>
        <v>32.74</v>
      </c>
      <c r="N76" s="12" t="n">
        <f aca="false">IF(OR(M76="",H76=0,H76=""),"",M76/H76)</f>
        <v>0.197944377267231</v>
      </c>
      <c r="O76" s="22" t="str">
        <f aca="false">IF(N76="","",IF(N76&lt;0,"PREJUÍZO",IF(N76&lt;0.1,"CRÍTICO (&lt;10%)",IF(N76&lt;0.15,"ABAIXO DA META (10-15%)",IF(N76&lt;=0.2,"DENTRO DA META (15-20%)","ACIMA DA META (&gt;20%)")))))</f>
        <v>DENTRO DA META (15-20%)</v>
      </c>
      <c r="P76" s="23"/>
    </row>
    <row r="77" customFormat="false" ht="15" hidden="true" customHeight="true" outlineLevel="0" collapsed="false">
      <c r="A77" s="19" t="s">
        <v>119</v>
      </c>
      <c r="B77" s="19" t="s">
        <v>96</v>
      </c>
      <c r="C77" s="19" t="s">
        <v>97</v>
      </c>
      <c r="D77" s="20" t="n">
        <v>198.79</v>
      </c>
      <c r="E77" s="21" t="n">
        <v>0</v>
      </c>
      <c r="F77" s="20" t="n">
        <v>99.57</v>
      </c>
      <c r="G77" s="13" t="n">
        <v>25.4</v>
      </c>
      <c r="H77" s="13" t="n">
        <f aca="false">IF(D77="","",D77*(1-E77))</f>
        <v>198.79</v>
      </c>
      <c r="I77" s="12" t="n">
        <f aca="false">IF(OR(G77="",H77=""),"",G77/H77)</f>
        <v>0.127773026812214</v>
      </c>
      <c r="J77" s="13" t="n">
        <f aca="false">IF(OR(B77="",C77=""),"",INDEX(Ref_Frete!$B$2:$G$54,MATCH(C77,Ref_Frete!$A$2:$A$54,0),IF(B77="Pequenos",2,IF(B77="Medios",4,6))))</f>
        <v>24.9</v>
      </c>
      <c r="K77" s="13" t="n">
        <f aca="false">IF(OR(B77="",C77=""),"",INDEX(Ref_Frete!$B$2:$G$54,MATCH(C77,Ref_Frete!$A$2:$A$54,0),IF(B77="Pequenos",1,IF(B77="Medios",3,5))))</f>
        <v>46.5</v>
      </c>
      <c r="L77" s="13" t="n">
        <f aca="false">IF(OR(J77="",K77=""),"",J77-K77)</f>
        <v>-21.6</v>
      </c>
      <c r="M77" s="13" t="n">
        <f aca="false">IF(OR(H77="",F77="",G77=""),"",H77-G77-F77-H77*$B$3+IF(L77="",0,L77))</f>
        <v>32.341</v>
      </c>
      <c r="N77" s="12" t="n">
        <f aca="false">IF(OR(M77="",H77=0,H77=""),"",M77/H77)</f>
        <v>0.162689270084008</v>
      </c>
      <c r="O77" s="22" t="str">
        <f aca="false">IF(N77="","",IF(N77&lt;0,"PREJUÍZO",IF(N77&lt;0.1,"CRÍTICO (&lt;10%)",IF(N77&lt;0.15,"ABAIXO DA META (10-15%)",IF(N77&lt;=0.2,"DENTRO DA META (15-20%)","ACIMA DA META (&gt;20%)")))))</f>
        <v>DENTRO DA META (15-20%)</v>
      </c>
      <c r="P77" s="23"/>
    </row>
    <row r="78" customFormat="false" ht="15" hidden="false" customHeight="true" outlineLevel="0" collapsed="false">
      <c r="A78" s="19" t="s">
        <v>119</v>
      </c>
      <c r="B78" s="19" t="s">
        <v>96</v>
      </c>
      <c r="C78" s="19" t="s">
        <v>98</v>
      </c>
      <c r="D78" s="20" t="n">
        <v>198.79</v>
      </c>
      <c r="E78" s="21" t="n">
        <v>0</v>
      </c>
      <c r="F78" s="20" t="n">
        <v>99.57</v>
      </c>
      <c r="G78" s="13" t="n">
        <v>25.4</v>
      </c>
      <c r="H78" s="13" t="n">
        <f aca="false">IF(D78="","",D78*(1-E78))</f>
        <v>198.79</v>
      </c>
      <c r="I78" s="12" t="n">
        <f aca="false">IF(OR(G78="",H78=""),"",G78/H78)</f>
        <v>0.127773026812214</v>
      </c>
      <c r="J78" s="13" t="n">
        <f aca="false">IF(OR(B78="",C78=""),"",INDEX(Ref_Frete!$B$2:$G$54,MATCH(C78,Ref_Frete!$A$2:$A$54,0),IF(B78="Pequenos",2,IF(B78="Medios",4,6))))</f>
        <v>16.9</v>
      </c>
      <c r="K78" s="13" t="n">
        <f aca="false">IF(OR(B78="",C78=""),"",INDEX(Ref_Frete!$B$2:$G$54,MATCH(C78,Ref_Frete!$A$2:$A$54,0),IF(B78="Pequenos",1,IF(B78="Medios",3,5))))</f>
        <v>30</v>
      </c>
      <c r="L78" s="13" t="n">
        <f aca="false">IF(OR(J78="",K78=""),"",J78-K78)</f>
        <v>-13.1</v>
      </c>
      <c r="M78" s="13" t="n">
        <f aca="false">IF(OR(H78="",F78="",G78=""),"",H78-G78-F78-H78*$B$3+IF(L78="",0,L78))</f>
        <v>40.841</v>
      </c>
      <c r="N78" s="12" t="n">
        <f aca="false">IF(OR(M78="",H78=0,H78=""),"",M78/H78)</f>
        <v>0.205447960158962</v>
      </c>
      <c r="O78" s="22" t="str">
        <f aca="false">IF(N78="","",IF(N78&lt;0,"PREJUÍZO",IF(N78&lt;0.1,"CRÍTICO (&lt;10%)",IF(N78&lt;0.15,"ABAIXO DA META (10-15%)",IF(N78&lt;=0.2,"DENTRO DA META (15-20%)","ACIMA DA META (&gt;20%)")))))</f>
        <v>ACIMA DA META (&gt;20%)</v>
      </c>
      <c r="P78" s="23"/>
    </row>
    <row r="79" customFormat="false" ht="15" hidden="true" customHeight="true" outlineLevel="0" collapsed="false">
      <c r="A79" s="19" t="s">
        <v>120</v>
      </c>
      <c r="B79" s="19" t="s">
        <v>96</v>
      </c>
      <c r="C79" s="19" t="s">
        <v>97</v>
      </c>
      <c r="D79" s="20" t="n">
        <v>219.68</v>
      </c>
      <c r="E79" s="21" t="n">
        <v>0</v>
      </c>
      <c r="F79" s="20" t="n">
        <v>111.27</v>
      </c>
      <c r="G79" s="13" t="n">
        <v>27.91</v>
      </c>
      <c r="H79" s="13" t="n">
        <f aca="false">IF(D79="","",D79*(1-E79))</f>
        <v>219.68</v>
      </c>
      <c r="I79" s="12" t="n">
        <f aca="false">IF(OR(G79="",H79=""),"",G79/H79)</f>
        <v>0.127048434085943</v>
      </c>
      <c r="J79" s="13" t="n">
        <f aca="false">IF(OR(B79="",C79=""),"",INDEX(Ref_Frete!$B$2:$G$54,MATCH(C79,Ref_Frete!$A$2:$A$54,0),IF(B79="Pequenos",2,IF(B79="Medios",4,6))))</f>
        <v>24.9</v>
      </c>
      <c r="K79" s="13" t="n">
        <f aca="false">IF(OR(B79="",C79=""),"",INDEX(Ref_Frete!$B$2:$G$54,MATCH(C79,Ref_Frete!$A$2:$A$54,0),IF(B79="Pequenos",1,IF(B79="Medios",3,5))))</f>
        <v>46.5</v>
      </c>
      <c r="L79" s="13" t="n">
        <f aca="false">IF(OR(J79="",K79=""),"",J79-K79)</f>
        <v>-21.6</v>
      </c>
      <c r="M79" s="13" t="n">
        <f aca="false">IF(OR(H79="",F79="",G79=""),"",H79-G79-F79-H79*$B$3+IF(L79="",0,L79))</f>
        <v>36.932</v>
      </c>
      <c r="N79" s="12" t="n">
        <f aca="false">IF(OR(M79="",H79=0,H79=""),"",M79/H79)</f>
        <v>0.168117261471231</v>
      </c>
      <c r="O79" s="22" t="str">
        <f aca="false">IF(N79="","",IF(N79&lt;0,"PREJUÍZO",IF(N79&lt;0.1,"CRÍTICO (&lt;10%)",IF(N79&lt;0.15,"ABAIXO DA META (10-15%)",IF(N79&lt;=0.2,"DENTRO DA META (15-20%)","ACIMA DA META (&gt;20%)")))))</f>
        <v>DENTRO DA META (15-20%)</v>
      </c>
      <c r="P79" s="23"/>
    </row>
    <row r="80" customFormat="false" ht="15" hidden="false" customHeight="true" outlineLevel="0" collapsed="false">
      <c r="A80" s="19" t="s">
        <v>120</v>
      </c>
      <c r="B80" s="19" t="s">
        <v>96</v>
      </c>
      <c r="C80" s="19" t="s">
        <v>98</v>
      </c>
      <c r="D80" s="20" t="n">
        <v>219.68</v>
      </c>
      <c r="E80" s="21" t="n">
        <v>0</v>
      </c>
      <c r="F80" s="20" t="n">
        <v>111.27</v>
      </c>
      <c r="G80" s="13" t="n">
        <v>27.91</v>
      </c>
      <c r="H80" s="13" t="n">
        <f aca="false">IF(D80="","",D80*(1-E80))</f>
        <v>219.68</v>
      </c>
      <c r="I80" s="12" t="n">
        <f aca="false">IF(OR(G80="",H80=""),"",G80/H80)</f>
        <v>0.127048434085943</v>
      </c>
      <c r="J80" s="13" t="n">
        <f aca="false">IF(OR(B80="",C80=""),"",INDEX(Ref_Frete!$B$2:$G$54,MATCH(C80,Ref_Frete!$A$2:$A$54,0),IF(B80="Pequenos",2,IF(B80="Medios",4,6))))</f>
        <v>16.9</v>
      </c>
      <c r="K80" s="13" t="n">
        <f aca="false">IF(OR(B80="",C80=""),"",INDEX(Ref_Frete!$B$2:$G$54,MATCH(C80,Ref_Frete!$A$2:$A$54,0),IF(B80="Pequenos",1,IF(B80="Medios",3,5))))</f>
        <v>30</v>
      </c>
      <c r="L80" s="13" t="n">
        <f aca="false">IF(OR(J80="",K80=""),"",J80-K80)</f>
        <v>-13.1</v>
      </c>
      <c r="M80" s="13" t="n">
        <f aca="false">IF(OR(H80="",F80="",G80=""),"",H80-G80-F80-H80*$B$3+IF(L80="",0,L80))</f>
        <v>45.432</v>
      </c>
      <c r="N80" s="12" t="n">
        <f aca="false">IF(OR(M80="",H80=0,H80=""),"",M80/H80)</f>
        <v>0.206809905316825</v>
      </c>
      <c r="O80" s="22" t="str">
        <f aca="false">IF(N80="","",IF(N80&lt;0,"PREJUÍZO",IF(N80&lt;0.1,"CRÍTICO (&lt;10%)",IF(N80&lt;0.15,"ABAIXO DA META (10-15%)",IF(N80&lt;=0.2,"DENTRO DA META (15-20%)","ACIMA DA META (&gt;20%)")))))</f>
        <v>ACIMA DA META (&gt;20%)</v>
      </c>
      <c r="P80" s="23"/>
    </row>
    <row r="81" customFormat="false" ht="15" hidden="true" customHeight="true" outlineLevel="0" collapsed="false">
      <c r="A81" s="19" t="s">
        <v>121</v>
      </c>
      <c r="B81" s="19" t="s">
        <v>96</v>
      </c>
      <c r="C81" s="19" t="s">
        <v>97</v>
      </c>
      <c r="D81" s="20" t="n">
        <v>238.25</v>
      </c>
      <c r="E81" s="21" t="n">
        <v>0</v>
      </c>
      <c r="F81" s="20" t="n">
        <v>121.08</v>
      </c>
      <c r="G81" s="13" t="n">
        <v>30.14</v>
      </c>
      <c r="H81" s="13" t="n">
        <f aca="false">IF(D81="","",D81*(1-E81))</f>
        <v>238.25</v>
      </c>
      <c r="I81" s="12" t="n">
        <f aca="false">IF(OR(G81="",H81=""),"",G81/H81)</f>
        <v>0.126505771248688</v>
      </c>
      <c r="J81" s="13" t="n">
        <f aca="false">IF(OR(B81="",C81=""),"",INDEX(Ref_Frete!$B$2:$G$54,MATCH(C81,Ref_Frete!$A$2:$A$54,0),IF(B81="Pequenos",2,IF(B81="Medios",4,6))))</f>
        <v>24.9</v>
      </c>
      <c r="K81" s="13" t="n">
        <f aca="false">IF(OR(B81="",C81=""),"",INDEX(Ref_Frete!$B$2:$G$54,MATCH(C81,Ref_Frete!$A$2:$A$54,0),IF(B81="Pequenos",1,IF(B81="Medios",3,5))))</f>
        <v>46.5</v>
      </c>
      <c r="L81" s="13" t="n">
        <f aca="false">IF(OR(J81="",K81=""),"",J81-K81)</f>
        <v>-21.6</v>
      </c>
      <c r="M81" s="13" t="n">
        <f aca="false">IF(OR(H81="",F81="",G81=""),"",H81-G81-F81-H81*$B$3+IF(L81="",0,L81))</f>
        <v>41.605</v>
      </c>
      <c r="N81" s="12" t="n">
        <f aca="false">IF(OR(M81="",H81=0,H81=""),"",M81/H81)</f>
        <v>0.174627492130115</v>
      </c>
      <c r="O81" s="22" t="str">
        <f aca="false">IF(N81="","",IF(N81&lt;0,"PREJUÍZO",IF(N81&lt;0.1,"CRÍTICO (&lt;10%)",IF(N81&lt;0.15,"ABAIXO DA META (10-15%)",IF(N81&lt;=0.2,"DENTRO DA META (15-20%)","ACIMA DA META (&gt;20%)")))))</f>
        <v>DENTRO DA META (15-20%)</v>
      </c>
      <c r="P81" s="23"/>
    </row>
    <row r="82" customFormat="false" ht="15" hidden="false" customHeight="true" outlineLevel="0" collapsed="false">
      <c r="A82" s="19" t="s">
        <v>121</v>
      </c>
      <c r="B82" s="19" t="s">
        <v>96</v>
      </c>
      <c r="C82" s="19" t="s">
        <v>98</v>
      </c>
      <c r="D82" s="20" t="n">
        <v>238.25</v>
      </c>
      <c r="E82" s="21" t="n">
        <v>0</v>
      </c>
      <c r="F82" s="20" t="n">
        <v>121.08</v>
      </c>
      <c r="G82" s="13" t="n">
        <v>30.14</v>
      </c>
      <c r="H82" s="13" t="n">
        <f aca="false">IF(D82="","",D82*(1-E82))</f>
        <v>238.25</v>
      </c>
      <c r="I82" s="12" t="n">
        <f aca="false">IF(OR(G82="",H82=""),"",G82/H82)</f>
        <v>0.126505771248688</v>
      </c>
      <c r="J82" s="13" t="n">
        <f aca="false">IF(OR(B82="",C82=""),"",INDEX(Ref_Frete!$B$2:$G$54,MATCH(C82,Ref_Frete!$A$2:$A$54,0),IF(B82="Pequenos",2,IF(B82="Medios",4,6))))</f>
        <v>16.9</v>
      </c>
      <c r="K82" s="13" t="n">
        <f aca="false">IF(OR(B82="",C82=""),"",INDEX(Ref_Frete!$B$2:$G$54,MATCH(C82,Ref_Frete!$A$2:$A$54,0),IF(B82="Pequenos",1,IF(B82="Medios",3,5))))</f>
        <v>30</v>
      </c>
      <c r="L82" s="13" t="n">
        <f aca="false">IF(OR(J82="",K82=""),"",J82-K82)</f>
        <v>-13.1</v>
      </c>
      <c r="M82" s="13" t="n">
        <f aca="false">IF(OR(H82="",F82="",G82=""),"",H82-G82-F82-H82*$B$3+IF(L82="",0,L82))</f>
        <v>50.105</v>
      </c>
      <c r="N82" s="12" t="n">
        <f aca="false">IF(OR(M82="",H82=0,H82=""),"",M82/H82)</f>
        <v>0.210304302203568</v>
      </c>
      <c r="O82" s="22" t="str">
        <f aca="false">IF(N82="","",IF(N82&lt;0,"PREJUÍZO",IF(N82&lt;0.1,"CRÍTICO (&lt;10%)",IF(N82&lt;0.15,"ABAIXO DA META (10-15%)",IF(N82&lt;=0.2,"DENTRO DA META (15-20%)","ACIMA DA META (&gt;20%)")))))</f>
        <v>ACIMA DA META (&gt;20%)</v>
      </c>
      <c r="P82" s="23"/>
    </row>
    <row r="83" customFormat="false" ht="15" hidden="true" customHeight="true" outlineLevel="0" collapsed="false">
      <c r="A83" s="19" t="s">
        <v>122</v>
      </c>
      <c r="B83" s="19" t="s">
        <v>96</v>
      </c>
      <c r="C83" s="19" t="s">
        <v>97</v>
      </c>
      <c r="D83" s="20" t="n">
        <v>244.29</v>
      </c>
      <c r="E83" s="21" t="n">
        <v>0</v>
      </c>
      <c r="F83" s="20" t="n">
        <v>124.7</v>
      </c>
      <c r="G83" s="13" t="n">
        <v>30.86</v>
      </c>
      <c r="H83" s="13" t="n">
        <f aca="false">IF(D83="","",D83*(1-E83))</f>
        <v>244.29</v>
      </c>
      <c r="I83" s="12" t="n">
        <f aca="false">IF(OR(G83="",H83=""),"",G83/H83)</f>
        <v>0.126325269147325</v>
      </c>
      <c r="J83" s="13" t="n">
        <f aca="false">IF(OR(B83="",C83=""),"",INDEX(Ref_Frete!$B$2:$G$54,MATCH(C83,Ref_Frete!$A$2:$A$54,0),IF(B83="Pequenos",2,IF(B83="Medios",4,6))))</f>
        <v>24.9</v>
      </c>
      <c r="K83" s="13" t="n">
        <f aca="false">IF(OR(B83="",C83=""),"",INDEX(Ref_Frete!$B$2:$G$54,MATCH(C83,Ref_Frete!$A$2:$A$54,0),IF(B83="Pequenos",1,IF(B83="Medios",3,5))))</f>
        <v>46.5</v>
      </c>
      <c r="L83" s="13" t="n">
        <f aca="false">IF(OR(J83="",K83=""),"",J83-K83)</f>
        <v>-21.6</v>
      </c>
      <c r="M83" s="13" t="n">
        <f aca="false">IF(OR(H83="",F83="",G83=""),"",H83-G83-F83-H83*$B$3+IF(L83="",0,L83))</f>
        <v>42.701</v>
      </c>
      <c r="N83" s="12" t="n">
        <f aca="false">IF(OR(M83="",H83=0,H83=""),"",M83/H83)</f>
        <v>0.174796348602071</v>
      </c>
      <c r="O83" s="22" t="str">
        <f aca="false">IF(N83="","",IF(N83&lt;0,"PREJUÍZO",IF(N83&lt;0.1,"CRÍTICO (&lt;10%)",IF(N83&lt;0.15,"ABAIXO DA META (10-15%)",IF(N83&lt;=0.2,"DENTRO DA META (15-20%)","ACIMA DA META (&gt;20%)")))))</f>
        <v>DENTRO DA META (15-20%)</v>
      </c>
      <c r="P83" s="23"/>
    </row>
    <row r="84" customFormat="false" ht="15" hidden="false" customHeight="true" outlineLevel="0" collapsed="false">
      <c r="A84" s="19" t="s">
        <v>122</v>
      </c>
      <c r="B84" s="19" t="s">
        <v>96</v>
      </c>
      <c r="C84" s="19" t="s">
        <v>98</v>
      </c>
      <c r="D84" s="20" t="n">
        <v>244.29</v>
      </c>
      <c r="E84" s="21" t="n">
        <v>0</v>
      </c>
      <c r="F84" s="20" t="n">
        <v>124.7</v>
      </c>
      <c r="G84" s="13" t="n">
        <v>30.86</v>
      </c>
      <c r="H84" s="13" t="n">
        <f aca="false">IF(D84="","",D84*(1-E84))</f>
        <v>244.29</v>
      </c>
      <c r="I84" s="12" t="n">
        <f aca="false">IF(OR(G84="",H84=""),"",G84/H84)</f>
        <v>0.126325269147325</v>
      </c>
      <c r="J84" s="13" t="n">
        <f aca="false">IF(OR(B84="",C84=""),"",INDEX(Ref_Frete!$B$2:$G$54,MATCH(C84,Ref_Frete!$A$2:$A$54,0),IF(B84="Pequenos",2,IF(B84="Medios",4,6))))</f>
        <v>16.9</v>
      </c>
      <c r="K84" s="13" t="n">
        <f aca="false">IF(OR(B84="",C84=""),"",INDEX(Ref_Frete!$B$2:$G$54,MATCH(C84,Ref_Frete!$A$2:$A$54,0),IF(B84="Pequenos",1,IF(B84="Medios",3,5))))</f>
        <v>30</v>
      </c>
      <c r="L84" s="13" t="n">
        <f aca="false">IF(OR(J84="",K84=""),"",J84-K84)</f>
        <v>-13.1</v>
      </c>
      <c r="M84" s="13" t="n">
        <f aca="false">IF(OR(H84="",F84="",G84=""),"",H84-G84-F84-H84*$B$3+IF(L84="",0,L84))</f>
        <v>51.201</v>
      </c>
      <c r="N84" s="12" t="n">
        <f aca="false">IF(OR(M84="",H84=0,H84=""),"",M84/H84)</f>
        <v>0.209591059805968</v>
      </c>
      <c r="O84" s="22" t="str">
        <f aca="false">IF(N84="","",IF(N84&lt;0,"PREJUÍZO",IF(N84&lt;0.1,"CRÍTICO (&lt;10%)",IF(N84&lt;0.15,"ABAIXO DA META (10-15%)",IF(N84&lt;=0.2,"DENTRO DA META (15-20%)","ACIMA DA META (&gt;20%)")))))</f>
        <v>ACIMA DA META (&gt;20%)</v>
      </c>
      <c r="P84" s="23"/>
    </row>
    <row r="85" customFormat="false" ht="15" hidden="true" customHeight="true" outlineLevel="0" collapsed="false">
      <c r="A85" s="19" t="s">
        <v>123</v>
      </c>
      <c r="B85" s="19" t="s">
        <v>96</v>
      </c>
      <c r="C85" s="19" t="s">
        <v>97</v>
      </c>
      <c r="D85" s="20" t="n">
        <v>273.11</v>
      </c>
      <c r="E85" s="21" t="n">
        <v>0</v>
      </c>
      <c r="F85" s="20" t="n">
        <v>140.24</v>
      </c>
      <c r="G85" s="13" t="n">
        <v>34.32</v>
      </c>
      <c r="H85" s="13" t="n">
        <f aca="false">IF(D85="","",D85*(1-E85))</f>
        <v>273.11</v>
      </c>
      <c r="I85" s="12" t="n">
        <f aca="false">IF(OR(G85="",H85=""),"",G85/H85)</f>
        <v>0.125663652008348</v>
      </c>
      <c r="J85" s="13" t="n">
        <f aca="false">IF(OR(B85="",C85=""),"",INDEX(Ref_Frete!$B$2:$G$54,MATCH(C85,Ref_Frete!$A$2:$A$54,0),IF(B85="Pequenos",2,IF(B85="Medios",4,6))))</f>
        <v>24.9</v>
      </c>
      <c r="K85" s="13" t="n">
        <f aca="false">IF(OR(B85="",C85=""),"",INDEX(Ref_Frete!$B$2:$G$54,MATCH(C85,Ref_Frete!$A$2:$A$54,0),IF(B85="Pequenos",1,IF(B85="Medios",3,5))))</f>
        <v>46.5</v>
      </c>
      <c r="L85" s="13" t="n">
        <f aca="false">IF(OR(J85="",K85=""),"",J85-K85)</f>
        <v>-21.6</v>
      </c>
      <c r="M85" s="13" t="n">
        <f aca="false">IF(OR(H85="",F85="",G85=""),"",H85-G85-F85-H85*$B$3+IF(L85="",0,L85))</f>
        <v>49.639</v>
      </c>
      <c r="N85" s="12" t="n">
        <f aca="false">IF(OR(M85="",H85=0,H85=""),"",M85/H85)</f>
        <v>0.181754604371865</v>
      </c>
      <c r="O85" s="22" t="str">
        <f aca="false">IF(N85="","",IF(N85&lt;0,"PREJUÍZO",IF(N85&lt;0.1,"CRÍTICO (&lt;10%)",IF(N85&lt;0.15,"ABAIXO DA META (10-15%)",IF(N85&lt;=0.2,"DENTRO DA META (15-20%)","ACIMA DA META (&gt;20%)")))))</f>
        <v>DENTRO DA META (15-20%)</v>
      </c>
      <c r="P85" s="23"/>
    </row>
    <row r="86" customFormat="false" ht="15" hidden="false" customHeight="true" outlineLevel="0" collapsed="false">
      <c r="A86" s="19" t="s">
        <v>123</v>
      </c>
      <c r="B86" s="19" t="s">
        <v>96</v>
      </c>
      <c r="C86" s="19" t="s">
        <v>98</v>
      </c>
      <c r="D86" s="20" t="n">
        <v>273.11</v>
      </c>
      <c r="E86" s="21" t="n">
        <v>0</v>
      </c>
      <c r="F86" s="20" t="n">
        <v>140.24</v>
      </c>
      <c r="G86" s="13" t="n">
        <v>34.32</v>
      </c>
      <c r="H86" s="13" t="n">
        <f aca="false">IF(D86="","",D86*(1-E86))</f>
        <v>273.11</v>
      </c>
      <c r="I86" s="12" t="n">
        <f aca="false">IF(OR(G86="",H86=""),"",G86/H86)</f>
        <v>0.125663652008348</v>
      </c>
      <c r="J86" s="13" t="n">
        <f aca="false">IF(OR(B86="",C86=""),"",INDEX(Ref_Frete!$B$2:$G$54,MATCH(C86,Ref_Frete!$A$2:$A$54,0),IF(B86="Pequenos",2,IF(B86="Medios",4,6))))</f>
        <v>16.9</v>
      </c>
      <c r="K86" s="13" t="n">
        <f aca="false">IF(OR(B86="",C86=""),"",INDEX(Ref_Frete!$B$2:$G$54,MATCH(C86,Ref_Frete!$A$2:$A$54,0),IF(B86="Pequenos",1,IF(B86="Medios",3,5))))</f>
        <v>30</v>
      </c>
      <c r="L86" s="13" t="n">
        <f aca="false">IF(OR(J86="",K86=""),"",J86-K86)</f>
        <v>-13.1</v>
      </c>
      <c r="M86" s="13" t="n">
        <f aca="false">IF(OR(H86="",F86="",G86=""),"",H86-G86-F86-H86*$B$3+IF(L86="",0,L86))</f>
        <v>58.139</v>
      </c>
      <c r="N86" s="12" t="n">
        <f aca="false">IF(OR(M86="",H86=0,H86=""),"",M86/H86)</f>
        <v>0.212877595108198</v>
      </c>
      <c r="O86" s="22" t="str">
        <f aca="false">IF(N86="","",IF(N86&lt;0,"PREJUÍZO",IF(N86&lt;0.1,"CRÍTICO (&lt;10%)",IF(N86&lt;0.15,"ABAIXO DA META (10-15%)",IF(N86&lt;=0.2,"DENTRO DA META (15-20%)","ACIMA DA META (&gt;20%)")))))</f>
        <v>ACIMA DA META (&gt;20%)</v>
      </c>
      <c r="P86" s="23"/>
    </row>
    <row r="87" customFormat="false" ht="15" hidden="true" customHeight="true" outlineLevel="0" collapsed="false">
      <c r="A87" s="19" t="s">
        <v>124</v>
      </c>
      <c r="B87" s="19" t="s">
        <v>96</v>
      </c>
      <c r="C87" s="19" t="s">
        <v>97</v>
      </c>
      <c r="D87" s="20" t="n">
        <v>234.12</v>
      </c>
      <c r="E87" s="21" t="n">
        <v>0</v>
      </c>
      <c r="F87" s="20" t="n">
        <v>122.9</v>
      </c>
      <c r="G87" s="13" t="n">
        <v>29.64</v>
      </c>
      <c r="H87" s="13" t="n">
        <f aca="false">IF(D87="","",D87*(1-E87))</f>
        <v>234.12</v>
      </c>
      <c r="I87" s="12" t="n">
        <f aca="false">IF(OR(G87="",H87=""),"",G87/H87)</f>
        <v>0.126601742696053</v>
      </c>
      <c r="J87" s="13" t="n">
        <f aca="false">IF(OR(B87="",C87=""),"",INDEX(Ref_Frete!$B$2:$G$54,MATCH(C87,Ref_Frete!$A$2:$A$54,0),IF(B87="Pequenos",2,IF(B87="Medios",4,6))))</f>
        <v>24.9</v>
      </c>
      <c r="K87" s="13" t="n">
        <f aca="false">IF(OR(B87="",C87=""),"",INDEX(Ref_Frete!$B$2:$G$54,MATCH(C87,Ref_Frete!$A$2:$A$54,0),IF(B87="Pequenos",1,IF(B87="Medios",3,5))))</f>
        <v>46.5</v>
      </c>
      <c r="L87" s="13" t="n">
        <f aca="false">IF(OR(J87="",K87=""),"",J87-K87)</f>
        <v>-21.6</v>
      </c>
      <c r="M87" s="13" t="n">
        <f aca="false">IF(OR(H87="",F87="",G87=""),"",H87-G87-F87-H87*$B$3+IF(L87="",0,L87))</f>
        <v>36.568</v>
      </c>
      <c r="N87" s="12" t="n">
        <f aca="false">IF(OR(M87="",H87=0,H87=""),"",M87/H87)</f>
        <v>0.156193405091406</v>
      </c>
      <c r="O87" s="22" t="str">
        <f aca="false">IF(N87="","",IF(N87&lt;0,"PREJUÍZO",IF(N87&lt;0.1,"CRÍTICO (&lt;10%)",IF(N87&lt;0.15,"ABAIXO DA META (10-15%)",IF(N87&lt;=0.2,"DENTRO DA META (15-20%)","ACIMA DA META (&gt;20%)")))))</f>
        <v>DENTRO DA META (15-20%)</v>
      </c>
      <c r="P87" s="23"/>
    </row>
    <row r="88" customFormat="false" ht="15" hidden="false" customHeight="true" outlineLevel="0" collapsed="false">
      <c r="A88" s="19" t="s">
        <v>124</v>
      </c>
      <c r="B88" s="19" t="s">
        <v>96</v>
      </c>
      <c r="C88" s="19" t="s">
        <v>98</v>
      </c>
      <c r="D88" s="20" t="n">
        <v>234.12</v>
      </c>
      <c r="E88" s="21" t="n">
        <v>0</v>
      </c>
      <c r="F88" s="20" t="n">
        <v>122.9</v>
      </c>
      <c r="G88" s="13" t="n">
        <v>29.64</v>
      </c>
      <c r="H88" s="13" t="n">
        <f aca="false">IF(D88="","",D88*(1-E88))</f>
        <v>234.12</v>
      </c>
      <c r="I88" s="12" t="n">
        <f aca="false">IF(OR(G88="",H88=""),"",G88/H88)</f>
        <v>0.126601742696053</v>
      </c>
      <c r="J88" s="13" t="n">
        <f aca="false">IF(OR(B88="",C88=""),"",INDEX(Ref_Frete!$B$2:$G$54,MATCH(C88,Ref_Frete!$A$2:$A$54,0),IF(B88="Pequenos",2,IF(B88="Medios",4,6))))</f>
        <v>16.9</v>
      </c>
      <c r="K88" s="13" t="n">
        <f aca="false">IF(OR(B88="",C88=""),"",INDEX(Ref_Frete!$B$2:$G$54,MATCH(C88,Ref_Frete!$A$2:$A$54,0),IF(B88="Pequenos",1,IF(B88="Medios",3,5))))</f>
        <v>30</v>
      </c>
      <c r="L88" s="13" t="n">
        <f aca="false">IF(OR(J88="",K88=""),"",J88-K88)</f>
        <v>-13.1</v>
      </c>
      <c r="M88" s="13" t="n">
        <f aca="false">IF(OR(H88="",F88="",G88=""),"",H88-G88-F88-H88*$B$3+IF(L88="",0,L88))</f>
        <v>45.068</v>
      </c>
      <c r="N88" s="12" t="n">
        <f aca="false">IF(OR(M88="",H88=0,H88=""),"",M88/H88)</f>
        <v>0.192499572868614</v>
      </c>
      <c r="O88" s="22" t="str">
        <f aca="false">IF(N88="","",IF(N88&lt;0,"PREJUÍZO",IF(N88&lt;0.1,"CRÍTICO (&lt;10%)",IF(N88&lt;0.15,"ABAIXO DA META (10-15%)",IF(N88&lt;=0.2,"DENTRO DA META (15-20%)","ACIMA DA META (&gt;20%)")))))</f>
        <v>DENTRO DA META (15-20%)</v>
      </c>
      <c r="P88" s="23"/>
    </row>
    <row r="89" customFormat="false" ht="15" hidden="true" customHeight="true" outlineLevel="0" collapsed="false">
      <c r="A89" s="19" t="s">
        <v>125</v>
      </c>
      <c r="B89" s="19" t="s">
        <v>96</v>
      </c>
      <c r="C89" s="19" t="s">
        <v>97</v>
      </c>
      <c r="D89" s="20" t="n">
        <v>203.54</v>
      </c>
      <c r="E89" s="21" t="n">
        <v>0</v>
      </c>
      <c r="F89" s="20" t="n">
        <v>102.8</v>
      </c>
      <c r="G89" s="13" t="n">
        <v>23.81</v>
      </c>
      <c r="H89" s="13" t="n">
        <f aca="false">IF(D89="","",D89*(1-E89))</f>
        <v>203.54</v>
      </c>
      <c r="I89" s="12" t="n">
        <f aca="false">IF(OR(G89="",H89=""),"",G89/H89)</f>
        <v>0.116979463496119</v>
      </c>
      <c r="J89" s="13" t="n">
        <f aca="false">IF(OR(B89="",C89=""),"",INDEX(Ref_Frete!$B$2:$G$54,MATCH(C89,Ref_Frete!$A$2:$A$54,0),IF(B89="Pequenos",2,IF(B89="Medios",4,6))))</f>
        <v>24.9</v>
      </c>
      <c r="K89" s="13" t="n">
        <f aca="false">IF(OR(B89="",C89=""),"",INDEX(Ref_Frete!$B$2:$G$54,MATCH(C89,Ref_Frete!$A$2:$A$54,0),IF(B89="Pequenos",1,IF(B89="Medios",3,5))))</f>
        <v>46.5</v>
      </c>
      <c r="L89" s="13" t="n">
        <f aca="false">IF(OR(J89="",K89=""),"",J89-K89)</f>
        <v>-21.6</v>
      </c>
      <c r="M89" s="13" t="n">
        <f aca="false">IF(OR(H89="",F89="",G89=""),"",H89-G89-F89-H89*$B$3+IF(L89="",0,L89))</f>
        <v>34.976</v>
      </c>
      <c r="N89" s="12" t="n">
        <f aca="false">IF(OR(M89="",H89=0,H89=""),"",M89/H89)</f>
        <v>0.171838459270905</v>
      </c>
      <c r="O89" s="22" t="str">
        <f aca="false">IF(N89="","",IF(N89&lt;0,"PREJUÍZO",IF(N89&lt;0.1,"CRÍTICO (&lt;10%)",IF(N89&lt;0.15,"ABAIXO DA META (10-15%)",IF(N89&lt;=0.2,"DENTRO DA META (15-20%)","ACIMA DA META (&gt;20%)")))))</f>
        <v>DENTRO DA META (15-20%)</v>
      </c>
      <c r="P89" s="23"/>
    </row>
    <row r="90" customFormat="false" ht="15" hidden="false" customHeight="true" outlineLevel="0" collapsed="false">
      <c r="A90" s="19" t="s">
        <v>125</v>
      </c>
      <c r="B90" s="19" t="s">
        <v>96</v>
      </c>
      <c r="C90" s="19" t="s">
        <v>98</v>
      </c>
      <c r="D90" s="20" t="n">
        <v>203.54</v>
      </c>
      <c r="E90" s="21" t="n">
        <v>0</v>
      </c>
      <c r="F90" s="20" t="n">
        <v>102.8</v>
      </c>
      <c r="G90" s="13" t="n">
        <v>23.81</v>
      </c>
      <c r="H90" s="13" t="n">
        <f aca="false">IF(D90="","",D90*(1-E90))</f>
        <v>203.54</v>
      </c>
      <c r="I90" s="12" t="n">
        <f aca="false">IF(OR(G90="",H90=""),"",G90/H90)</f>
        <v>0.116979463496119</v>
      </c>
      <c r="J90" s="13" t="n">
        <f aca="false">IF(OR(B90="",C90=""),"",INDEX(Ref_Frete!$B$2:$G$54,MATCH(C90,Ref_Frete!$A$2:$A$54,0),IF(B90="Pequenos",2,IF(B90="Medios",4,6))))</f>
        <v>16.9</v>
      </c>
      <c r="K90" s="13" t="n">
        <f aca="false">IF(OR(B90="",C90=""),"",INDEX(Ref_Frete!$B$2:$G$54,MATCH(C90,Ref_Frete!$A$2:$A$54,0),IF(B90="Pequenos",1,IF(B90="Medios",3,5))))</f>
        <v>30</v>
      </c>
      <c r="L90" s="13" t="n">
        <f aca="false">IF(OR(J90="",K90=""),"",J90-K90)</f>
        <v>-13.1</v>
      </c>
      <c r="M90" s="13" t="n">
        <f aca="false">IF(OR(H90="",F90="",G90=""),"",H90-G90-F90-H90*$B$3+IF(L90="",0,L90))</f>
        <v>43.476</v>
      </c>
      <c r="N90" s="12" t="n">
        <f aca="false">IF(OR(M90="",H90=0,H90=""),"",M90/H90)</f>
        <v>0.213599292522354</v>
      </c>
      <c r="O90" s="22" t="str">
        <f aca="false">IF(N90="","",IF(N90&lt;0,"PREJUÍZO",IF(N90&lt;0.1,"CRÍTICO (&lt;10%)",IF(N90&lt;0.15,"ABAIXO DA META (10-15%)",IF(N90&lt;=0.2,"DENTRO DA META (15-20%)","ACIMA DA META (&gt;20%)")))))</f>
        <v>ACIMA DA META (&gt;20%)</v>
      </c>
      <c r="P90" s="23"/>
    </row>
    <row r="91" customFormat="false" ht="15" hidden="true" customHeight="true" outlineLevel="0" collapsed="false">
      <c r="A91" s="19" t="s">
        <v>126</v>
      </c>
      <c r="B91" s="19" t="s">
        <v>96</v>
      </c>
      <c r="C91" s="19" t="s">
        <v>97</v>
      </c>
      <c r="D91" s="20" t="n">
        <v>167.89</v>
      </c>
      <c r="E91" s="21" t="n">
        <v>0</v>
      </c>
      <c r="F91" s="20" t="n">
        <v>84.79</v>
      </c>
      <c r="G91" s="13" t="n">
        <v>19.89</v>
      </c>
      <c r="H91" s="13" t="n">
        <f aca="false">IF(D91="","",D91*(1-E91))</f>
        <v>167.89</v>
      </c>
      <c r="I91" s="12" t="n">
        <f aca="false">IF(OR(G91="",H91=""),"",G91/H91)</f>
        <v>0.11847042706534</v>
      </c>
      <c r="J91" s="13" t="n">
        <f aca="false">IF(OR(B91="",C91=""),"",INDEX(Ref_Frete!$B$2:$G$54,MATCH(C91,Ref_Frete!$A$2:$A$54,0),IF(B91="Pequenos",2,IF(B91="Medios",4,6))))</f>
        <v>24.9</v>
      </c>
      <c r="K91" s="13" t="n">
        <f aca="false">IF(OR(B91="",C91=""),"",INDEX(Ref_Frete!$B$2:$G$54,MATCH(C91,Ref_Frete!$A$2:$A$54,0),IF(B91="Pequenos",1,IF(B91="Medios",3,5))))</f>
        <v>46.5</v>
      </c>
      <c r="L91" s="13" t="n">
        <f aca="false">IF(OR(J91="",K91=""),"",J91-K91)</f>
        <v>-21.6</v>
      </c>
      <c r="M91" s="13" t="n">
        <f aca="false">IF(OR(H91="",F91="",G91=""),"",H91-G91-F91-H91*$B$3+IF(L91="",0,L91))</f>
        <v>24.821</v>
      </c>
      <c r="N91" s="12" t="n">
        <f aca="false">IF(OR(M91="",H91=0,H91=""),"",M91/H91)</f>
        <v>0.1478408481744</v>
      </c>
      <c r="O91" s="22" t="str">
        <f aca="false">IF(N91="","",IF(N91&lt;0,"PREJUÍZO",IF(N91&lt;0.1,"CRÍTICO (&lt;10%)",IF(N91&lt;0.15,"ABAIXO DA META (10-15%)",IF(N91&lt;=0.2,"DENTRO DA META (15-20%)","ACIMA DA META (&gt;20%)")))))</f>
        <v>ABAIXO DA META (10-15%)</v>
      </c>
      <c r="P91" s="23"/>
    </row>
    <row r="92" customFormat="false" ht="15" hidden="false" customHeight="true" outlineLevel="0" collapsed="false">
      <c r="A92" s="19" t="s">
        <v>126</v>
      </c>
      <c r="B92" s="19" t="s">
        <v>96</v>
      </c>
      <c r="C92" s="19" t="s">
        <v>98</v>
      </c>
      <c r="D92" s="20" t="n">
        <v>167.89</v>
      </c>
      <c r="E92" s="21" t="n">
        <v>0</v>
      </c>
      <c r="F92" s="20" t="n">
        <v>84.79</v>
      </c>
      <c r="G92" s="13" t="n">
        <v>19.89</v>
      </c>
      <c r="H92" s="13" t="n">
        <f aca="false">IF(D92="","",D92*(1-E92))</f>
        <v>167.89</v>
      </c>
      <c r="I92" s="12" t="n">
        <f aca="false">IF(OR(G92="",H92=""),"",G92/H92)</f>
        <v>0.11847042706534</v>
      </c>
      <c r="J92" s="13" t="n">
        <f aca="false">IF(OR(B92="",C92=""),"",INDEX(Ref_Frete!$B$2:$G$54,MATCH(C92,Ref_Frete!$A$2:$A$54,0),IF(B92="Pequenos",2,IF(B92="Medios",4,6))))</f>
        <v>16.9</v>
      </c>
      <c r="K92" s="13" t="n">
        <f aca="false">IF(OR(B92="",C92=""),"",INDEX(Ref_Frete!$B$2:$G$54,MATCH(C92,Ref_Frete!$A$2:$A$54,0),IF(B92="Pequenos",1,IF(B92="Medios",3,5))))</f>
        <v>30</v>
      </c>
      <c r="L92" s="13" t="n">
        <f aca="false">IF(OR(J92="",K92=""),"",J92-K92)</f>
        <v>-13.1</v>
      </c>
      <c r="M92" s="13" t="n">
        <f aca="false">IF(OR(H92="",F92="",G92=""),"",H92-G92-F92-H92*$B$3+IF(L92="",0,L92))</f>
        <v>33.321</v>
      </c>
      <c r="N92" s="12" t="n">
        <f aca="false">IF(OR(M92="",H92=0,H92=""),"",M92/H92)</f>
        <v>0.198469235809161</v>
      </c>
      <c r="O92" s="22" t="str">
        <f aca="false">IF(N92="","",IF(N92&lt;0,"PREJUÍZO",IF(N92&lt;0.1,"CRÍTICO (&lt;10%)",IF(N92&lt;0.15,"ABAIXO DA META (10-15%)",IF(N92&lt;=0.2,"DENTRO DA META (15-20%)","ACIMA DA META (&gt;20%)")))))</f>
        <v>DENTRO DA META (15-20%)</v>
      </c>
      <c r="P92" s="23"/>
    </row>
    <row r="93" customFormat="false" ht="15" hidden="true" customHeight="true" outlineLevel="0" collapsed="false">
      <c r="A93" s="19" t="s">
        <v>127</v>
      </c>
      <c r="B93" s="19" t="s">
        <v>96</v>
      </c>
      <c r="C93" s="19" t="s">
        <v>97</v>
      </c>
      <c r="D93" s="20" t="n">
        <v>231.21</v>
      </c>
      <c r="E93" s="21" t="n">
        <v>0</v>
      </c>
      <c r="F93" s="20" t="n">
        <v>121.07</v>
      </c>
      <c r="G93" s="13" t="n">
        <v>29.29</v>
      </c>
      <c r="H93" s="13" t="n">
        <f aca="false">IF(D93="","",D93*(1-E93))</f>
        <v>231.21</v>
      </c>
      <c r="I93" s="12" t="n">
        <f aca="false">IF(OR(G93="",H93=""),"",G93/H93)</f>
        <v>0.12668137191298</v>
      </c>
      <c r="J93" s="13" t="n">
        <f aca="false">IF(OR(B93="",C93=""),"",INDEX(Ref_Frete!$B$2:$G$54,MATCH(C93,Ref_Frete!$A$2:$A$54,0),IF(B93="Pequenos",2,IF(B93="Medios",4,6))))</f>
        <v>24.9</v>
      </c>
      <c r="K93" s="13" t="n">
        <f aca="false">IF(OR(B93="",C93=""),"",INDEX(Ref_Frete!$B$2:$G$54,MATCH(C93,Ref_Frete!$A$2:$A$54,0),IF(B93="Pequenos",1,IF(B93="Medios",3,5))))</f>
        <v>46.5</v>
      </c>
      <c r="L93" s="13" t="n">
        <f aca="false">IF(OR(J93="",K93=""),"",J93-K93)</f>
        <v>-21.6</v>
      </c>
      <c r="M93" s="13" t="n">
        <f aca="false">IF(OR(H93="",F93="",G93=""),"",H93-G93-F93-H93*$B$3+IF(L93="",0,L93))</f>
        <v>36.129</v>
      </c>
      <c r="N93" s="12" t="n">
        <f aca="false">IF(OR(M93="",H93=0,H93=""),"",M93/H93)</f>
        <v>0.156260542364085</v>
      </c>
      <c r="O93" s="22" t="str">
        <f aca="false">IF(N93="","",IF(N93&lt;0,"PREJUÍZO",IF(N93&lt;0.1,"CRÍTICO (&lt;10%)",IF(N93&lt;0.15,"ABAIXO DA META (10-15%)",IF(N93&lt;=0.2,"DENTRO DA META (15-20%)","ACIMA DA META (&gt;20%)")))))</f>
        <v>DENTRO DA META (15-20%)</v>
      </c>
      <c r="P93" s="23"/>
    </row>
    <row r="94" customFormat="false" ht="15" hidden="false" customHeight="true" outlineLevel="0" collapsed="false">
      <c r="A94" s="19" t="s">
        <v>127</v>
      </c>
      <c r="B94" s="19" t="s">
        <v>96</v>
      </c>
      <c r="C94" s="19" t="s">
        <v>98</v>
      </c>
      <c r="D94" s="20" t="n">
        <v>231.21</v>
      </c>
      <c r="E94" s="21" t="n">
        <v>0</v>
      </c>
      <c r="F94" s="20" t="n">
        <v>121.07</v>
      </c>
      <c r="G94" s="13" t="n">
        <v>29.29</v>
      </c>
      <c r="H94" s="13" t="n">
        <f aca="false">IF(D94="","",D94*(1-E94))</f>
        <v>231.21</v>
      </c>
      <c r="I94" s="12" t="n">
        <f aca="false">IF(OR(G94="",H94=""),"",G94/H94)</f>
        <v>0.12668137191298</v>
      </c>
      <c r="J94" s="13" t="n">
        <f aca="false">IF(OR(B94="",C94=""),"",INDEX(Ref_Frete!$B$2:$G$54,MATCH(C94,Ref_Frete!$A$2:$A$54,0),IF(B94="Pequenos",2,IF(B94="Medios",4,6))))</f>
        <v>16.9</v>
      </c>
      <c r="K94" s="13" t="n">
        <f aca="false">IF(OR(B94="",C94=""),"",INDEX(Ref_Frete!$B$2:$G$54,MATCH(C94,Ref_Frete!$A$2:$A$54,0),IF(B94="Pequenos",1,IF(B94="Medios",3,5))))</f>
        <v>30</v>
      </c>
      <c r="L94" s="13" t="n">
        <f aca="false">IF(OR(J94="",K94=""),"",J94-K94)</f>
        <v>-13.1</v>
      </c>
      <c r="M94" s="13" t="n">
        <f aca="false">IF(OR(H94="",F94="",G94=""),"",H94-G94-F94-H94*$B$3+IF(L94="",0,L94))</f>
        <v>44.629</v>
      </c>
      <c r="N94" s="12" t="n">
        <f aca="false">IF(OR(M94="",H94=0,H94=""),"",M94/H94)</f>
        <v>0.193023658146274</v>
      </c>
      <c r="O94" s="22" t="str">
        <f aca="false">IF(N94="","",IF(N94&lt;0,"PREJUÍZO",IF(N94&lt;0.1,"CRÍTICO (&lt;10%)",IF(N94&lt;0.15,"ABAIXO DA META (10-15%)",IF(N94&lt;=0.2,"DENTRO DA META (15-20%)","ACIMA DA META (&gt;20%)")))))</f>
        <v>DENTRO DA META (15-20%)</v>
      </c>
      <c r="P94" s="23"/>
    </row>
    <row r="95" customFormat="false" ht="15" hidden="true" customHeight="true" outlineLevel="0" collapsed="false">
      <c r="A95" s="19" t="s">
        <v>32</v>
      </c>
      <c r="B95" s="19" t="s">
        <v>96</v>
      </c>
      <c r="C95" s="19" t="s">
        <v>97</v>
      </c>
      <c r="D95" s="20" t="n">
        <v>273.9</v>
      </c>
      <c r="E95" s="21" t="n">
        <v>0</v>
      </c>
      <c r="F95" s="20" t="n">
        <v>149.88</v>
      </c>
      <c r="G95" s="13" t="n">
        <v>34.45</v>
      </c>
      <c r="H95" s="13" t="n">
        <f aca="false">IF(D95="","",D95*(1-E95))</f>
        <v>273.9</v>
      </c>
      <c r="I95" s="12" t="n">
        <f aca="false">IF(OR(G95="",H95=""),"",G95/H95)</f>
        <v>0.125775830595108</v>
      </c>
      <c r="J95" s="13" t="n">
        <f aca="false">IF(OR(B95="",C95=""),"",INDEX(Ref_Frete!$B$2:$G$54,MATCH(C95,Ref_Frete!$A$2:$A$54,0),IF(B95="Pequenos",2,IF(B95="Medios",4,6))))</f>
        <v>24.9</v>
      </c>
      <c r="K95" s="13" t="n">
        <f aca="false">IF(OR(B95="",C95=""),"",INDEX(Ref_Frete!$B$2:$G$54,MATCH(C95,Ref_Frete!$A$2:$A$54,0),IF(B95="Pequenos",1,IF(B95="Medios",3,5))))</f>
        <v>46.5</v>
      </c>
      <c r="L95" s="13" t="n">
        <f aca="false">IF(OR(J95="",K95=""),"",J95-K95)</f>
        <v>-21.6</v>
      </c>
      <c r="M95" s="13" t="n">
        <f aca="false">IF(OR(H95="",F95="",G95=""),"",H95-G95-F95-H95*$B$3+IF(L95="",0,L95))</f>
        <v>40.58</v>
      </c>
      <c r="N95" s="12" t="n">
        <f aca="false">IF(OR(M95="",H95=0,H95=""),"",M95/H95)</f>
        <v>0.148156261409273</v>
      </c>
      <c r="O95" s="22" t="str">
        <f aca="false">IF(N95="","",IF(N95&lt;0,"PREJUÍZO",IF(N95&lt;0.1,"CRÍTICO (&lt;10%)",IF(N95&lt;0.15,"ABAIXO DA META (10-15%)",IF(N95&lt;=0.2,"DENTRO DA META (15-20%)","ACIMA DA META (&gt;20%)")))))</f>
        <v>ABAIXO DA META (10-15%)</v>
      </c>
      <c r="P95" s="23"/>
    </row>
    <row r="96" customFormat="false" ht="15" hidden="true" customHeight="true" outlineLevel="0" collapsed="false">
      <c r="A96" s="19" t="s">
        <v>32</v>
      </c>
      <c r="B96" s="19" t="s">
        <v>96</v>
      </c>
      <c r="C96" s="19" t="s">
        <v>98</v>
      </c>
      <c r="D96" s="20" t="n">
        <v>273.9</v>
      </c>
      <c r="E96" s="21" t="n">
        <v>0</v>
      </c>
      <c r="F96" s="20" t="n">
        <v>149.88</v>
      </c>
      <c r="G96" s="13" t="n">
        <v>34.45</v>
      </c>
      <c r="H96" s="13" t="n">
        <f aca="false">IF(D96="","",D96*(1-E96))</f>
        <v>273.9</v>
      </c>
      <c r="I96" s="12" t="n">
        <f aca="false">IF(OR(G96="",H96=""),"",G96/H96)</f>
        <v>0.125775830595108</v>
      </c>
      <c r="J96" s="13" t="n">
        <f aca="false">IF(OR(B96="",C96=""),"",INDEX(Ref_Frete!$B$2:$G$54,MATCH(C96,Ref_Frete!$A$2:$A$54,0),IF(B96="Pequenos",2,IF(B96="Medios",4,6))))</f>
        <v>16.9</v>
      </c>
      <c r="K96" s="13" t="n">
        <f aca="false">IF(OR(B96="",C96=""),"",INDEX(Ref_Frete!$B$2:$G$54,MATCH(C96,Ref_Frete!$A$2:$A$54,0),IF(B96="Pequenos",1,IF(B96="Medios",3,5))))</f>
        <v>30</v>
      </c>
      <c r="L96" s="13" t="n">
        <f aca="false">IF(OR(J96="",K96=""),"",J96-K96)</f>
        <v>-13.1</v>
      </c>
      <c r="M96" s="13" t="n">
        <f aca="false">IF(OR(H96="",F96="",G96=""),"",H96-G96-F96-H96*$B$3+IF(L96="",0,L96))</f>
        <v>49.08</v>
      </c>
      <c r="N96" s="12" t="n">
        <f aca="false">IF(OR(M96="",H96=0,H96=""),"",M96/H96)</f>
        <v>0.179189485213582</v>
      </c>
      <c r="O96" s="22" t="str">
        <f aca="false">IF(N96="","",IF(N96&lt;0,"PREJUÍZO",IF(N96&lt;0.1,"CRÍTICO (&lt;10%)",IF(N96&lt;0.15,"ABAIXO DA META (10-15%)",IF(N96&lt;=0.2,"DENTRO DA META (15-20%)","ACIMA DA META (&gt;20%)")))))</f>
        <v>DENTRO DA META (15-20%)</v>
      </c>
      <c r="P96" s="23"/>
    </row>
    <row r="97" customFormat="false" ht="21.75" hidden="true" customHeight="true" outlineLevel="0" collapsed="false">
      <c r="A97" s="19" t="s">
        <v>35</v>
      </c>
      <c r="B97" s="19" t="s">
        <v>96</v>
      </c>
      <c r="C97" s="19" t="s">
        <v>97</v>
      </c>
      <c r="D97" s="20" t="n">
        <v>258.97</v>
      </c>
      <c r="E97" s="21" t="n">
        <v>0</v>
      </c>
      <c r="F97" s="20" t="n">
        <v>139.81</v>
      </c>
      <c r="G97" s="13" t="n">
        <v>32.62</v>
      </c>
      <c r="H97" s="13" t="n">
        <f aca="false">IF(D97="","",D97*(1-E97))</f>
        <v>258.97</v>
      </c>
      <c r="I97" s="12" t="n">
        <f aca="false">IF(OR(G97="",H97=""),"",G97/H97)</f>
        <v>0.125960535969417</v>
      </c>
      <c r="J97" s="13" t="n">
        <f aca="false">IF(OR(B97="",C97=""),"",INDEX(Ref_Frete!$B$2:$G$54,MATCH(C97,Ref_Frete!$A$2:$A$54,0),IF(B97="Pequenos",2,IF(B97="Medios",4,6))))</f>
        <v>24.9</v>
      </c>
      <c r="K97" s="13" t="n">
        <f aca="false">IF(OR(B97="",C97=""),"",INDEX(Ref_Frete!$B$2:$G$54,MATCH(C97,Ref_Frete!$A$2:$A$54,0),IF(B97="Pequenos",1,IF(B97="Medios",3,5))))</f>
        <v>46.5</v>
      </c>
      <c r="L97" s="13" t="n">
        <f aca="false">IF(OR(J97="",K97=""),"",J97-K97)</f>
        <v>-21.6</v>
      </c>
      <c r="M97" s="13" t="n">
        <f aca="false">IF(OR(H97="",F97="",G97=""),"",H97-G97-F97-H97*$B$3+IF(L97="",0,L97))</f>
        <v>39.043</v>
      </c>
      <c r="N97" s="12" t="n">
        <f aca="false">IF(OR(M97="",H97=0,H97=""),"",M97/H97)</f>
        <v>0.150762636598834</v>
      </c>
      <c r="O97" s="22" t="str">
        <f aca="false">IF(N97="","",IF(N97&lt;0,"PREJUÍZO",IF(N97&lt;0.1,"CRÍTICO (&lt;10%)",IF(N97&lt;0.15,"ABAIXO DA META (10-15%)",IF(N97&lt;=0.2,"DENTRO DA META (15-20%)","ACIMA DA META (&gt;20%)")))))</f>
        <v>DENTRO DA META (15-20%)</v>
      </c>
      <c r="P97" s="23" t="s">
        <v>128</v>
      </c>
    </row>
    <row r="98" customFormat="false" ht="21.75" hidden="true" customHeight="true" outlineLevel="0" collapsed="false">
      <c r="A98" s="19" t="s">
        <v>35</v>
      </c>
      <c r="B98" s="19" t="s">
        <v>96</v>
      </c>
      <c r="C98" s="19" t="s">
        <v>98</v>
      </c>
      <c r="D98" s="20" t="n">
        <v>258.97</v>
      </c>
      <c r="E98" s="21" t="n">
        <v>0</v>
      </c>
      <c r="F98" s="20" t="n">
        <v>139.81</v>
      </c>
      <c r="G98" s="13" t="n">
        <v>32.62</v>
      </c>
      <c r="H98" s="13" t="n">
        <f aca="false">IF(D98="","",D98*(1-E98))</f>
        <v>258.97</v>
      </c>
      <c r="I98" s="12" t="n">
        <f aca="false">IF(OR(G98="",H98=""),"",G98/H98)</f>
        <v>0.125960535969417</v>
      </c>
      <c r="J98" s="13" t="n">
        <f aca="false">IF(OR(B98="",C98=""),"",INDEX(Ref_Frete!$B$2:$G$54,MATCH(C98,Ref_Frete!$A$2:$A$54,0),IF(B98="Pequenos",2,IF(B98="Medios",4,6))))</f>
        <v>16.9</v>
      </c>
      <c r="K98" s="13" t="n">
        <f aca="false">IF(OR(B98="",C98=""),"",INDEX(Ref_Frete!$B$2:$G$54,MATCH(C98,Ref_Frete!$A$2:$A$54,0),IF(B98="Pequenos",1,IF(B98="Medios",3,5))))</f>
        <v>30</v>
      </c>
      <c r="L98" s="13" t="n">
        <f aca="false">IF(OR(J98="",K98=""),"",J98-K98)</f>
        <v>-13.1</v>
      </c>
      <c r="M98" s="13" t="n">
        <f aca="false">IF(OR(H98="",F98="",G98=""),"",H98-G98-F98-H98*$B$3+IF(L98="",0,L98))</f>
        <v>47.543</v>
      </c>
      <c r="N98" s="12" t="n">
        <f aca="false">IF(OR(M98="",H98=0,H98=""),"",M98/H98)</f>
        <v>0.183584971232189</v>
      </c>
      <c r="O98" s="22" t="str">
        <f aca="false">IF(N98="","",IF(N98&lt;0,"PREJUÍZO",IF(N98&lt;0.1,"CRÍTICO (&lt;10%)",IF(N98&lt;0.15,"ABAIXO DA META (10-15%)",IF(N98&lt;=0.2,"DENTRO DA META (15-20%)","ACIMA DA META (&gt;20%)")))))</f>
        <v>DENTRO DA META (15-20%)</v>
      </c>
      <c r="P98" s="23" t="s">
        <v>128</v>
      </c>
    </row>
    <row r="99" customFormat="false" ht="15" hidden="true" customHeight="true" outlineLevel="0" collapsed="false">
      <c r="A99" s="19" t="s">
        <v>129</v>
      </c>
      <c r="B99" s="19" t="s">
        <v>130</v>
      </c>
      <c r="C99" s="19" t="s">
        <v>97</v>
      </c>
      <c r="D99" s="20" t="n">
        <v>674.62</v>
      </c>
      <c r="E99" s="21" t="n">
        <v>0</v>
      </c>
      <c r="F99" s="20" t="n">
        <v>365.7</v>
      </c>
      <c r="G99" s="13" t="n">
        <v>85.14</v>
      </c>
      <c r="H99" s="13" t="n">
        <f aca="false">IF(D99="","",D99*(1-E99))</f>
        <v>674.62</v>
      </c>
      <c r="I99" s="12" t="n">
        <f aca="false">IF(OR(G99="",H99=""),"",G99/H99)</f>
        <v>0.126204381726009</v>
      </c>
      <c r="J99" s="13" t="n">
        <f aca="false">IF(OR(B99="",C99=""),"",INDEX(Ref_Frete!$B$2:$G$54,MATCH(C99,Ref_Frete!$A$2:$A$54,0),IF(B99="Pequenos",2,IF(B99="Medios",4,6))))</f>
        <v>59.9</v>
      </c>
      <c r="K99" s="13" t="n">
        <f aca="false">IF(OR(B99="",C99=""),"",INDEX(Ref_Frete!$B$2:$G$54,MATCH(C99,Ref_Frete!$A$2:$A$54,0),IF(B99="Pequenos",1,IF(B99="Medios",3,5))))</f>
        <v>89</v>
      </c>
      <c r="L99" s="13" t="n">
        <f aca="false">IF(OR(J99="",K99=""),"",J99-K99)</f>
        <v>-29.1</v>
      </c>
      <c r="M99" s="13" t="n">
        <f aca="false">IF(OR(H99="",F99="",G99=""),"",H99-G99-F99-H99*$B$3+IF(L99="",0,L99))</f>
        <v>127.218</v>
      </c>
      <c r="N99" s="12" t="n">
        <f aca="false">IF(OR(M99="",H99=0,H99=""),"",M99/H99)</f>
        <v>0.188577273131541</v>
      </c>
      <c r="O99" s="22" t="str">
        <f aca="false">IF(N99="","",IF(N99&lt;0,"PREJUÍZO",IF(N99&lt;0.1,"CRÍTICO (&lt;10%)",IF(N99&lt;0.15,"ABAIXO DA META (10-15%)",IF(N99&lt;=0.2,"DENTRO DA META (15-20%)","ACIMA DA META (&gt;20%)")))))</f>
        <v>DENTRO DA META (15-20%)</v>
      </c>
      <c r="P99" s="23"/>
    </row>
    <row r="100" customFormat="false" ht="15" hidden="false" customHeight="true" outlineLevel="0" collapsed="false">
      <c r="A100" s="19" t="s">
        <v>129</v>
      </c>
      <c r="B100" s="19" t="s">
        <v>130</v>
      </c>
      <c r="C100" s="19" t="s">
        <v>98</v>
      </c>
      <c r="D100" s="20" t="n">
        <v>674.62</v>
      </c>
      <c r="E100" s="21" t="n">
        <v>0</v>
      </c>
      <c r="F100" s="20" t="n">
        <v>365.7</v>
      </c>
      <c r="G100" s="13" t="n">
        <v>85.14</v>
      </c>
      <c r="H100" s="13" t="n">
        <f aca="false">IF(D100="","",D100*(1-E100))</f>
        <v>674.62</v>
      </c>
      <c r="I100" s="12" t="n">
        <f aca="false">IF(OR(G100="",H100=""),"",G100/H100)</f>
        <v>0.126204381726009</v>
      </c>
      <c r="J100" s="13" t="n">
        <f aca="false">IF(OR(B100="",C100=""),"",INDEX(Ref_Frete!$B$2:$G$54,MATCH(C100,Ref_Frete!$A$2:$A$54,0),IF(B100="Pequenos",2,IF(B100="Medios",4,6))))</f>
        <v>39.9</v>
      </c>
      <c r="K100" s="13" t="n">
        <f aca="false">IF(OR(B100="",C100=""),"",INDEX(Ref_Frete!$B$2:$G$54,MATCH(C100,Ref_Frete!$A$2:$A$54,0),IF(B100="Pequenos",1,IF(B100="Medios",3,5))))</f>
        <v>49</v>
      </c>
      <c r="L100" s="13" t="n">
        <f aca="false">IF(OR(J100="",K100=""),"",J100-K100)</f>
        <v>-9.1</v>
      </c>
      <c r="M100" s="13" t="n">
        <f aca="false">IF(OR(H100="",F100="",G100=""),"",H100-G100-F100-H100*$B$3+IF(L100="",0,L100))</f>
        <v>147.218</v>
      </c>
      <c r="N100" s="12" t="n">
        <f aca="false">IF(OR(M100="",H100=0,H100=""),"",M100/H100)</f>
        <v>0.218223592540986</v>
      </c>
      <c r="O100" s="22" t="str">
        <f aca="false">IF(N100="","",IF(N100&lt;0,"PREJUÍZO",IF(N100&lt;0.1,"CRÍTICO (&lt;10%)",IF(N100&lt;0.15,"ABAIXO DA META (10-15%)",IF(N100&lt;=0.2,"DENTRO DA META (15-20%)","ACIMA DA META (&gt;20%)")))))</f>
        <v>ACIMA DA META (&gt;20%)</v>
      </c>
      <c r="P100" s="23"/>
    </row>
    <row r="101" customFormat="false" ht="15" hidden="true" customHeight="true" outlineLevel="0" collapsed="false">
      <c r="A101" s="19" t="s">
        <v>131</v>
      </c>
      <c r="B101" s="19" t="s">
        <v>130</v>
      </c>
      <c r="C101" s="19" t="s">
        <v>97</v>
      </c>
      <c r="D101" s="20" t="n">
        <v>272.57</v>
      </c>
      <c r="E101" s="21" t="n">
        <v>0</v>
      </c>
      <c r="F101" s="20" t="n">
        <v>136.09</v>
      </c>
      <c r="G101" s="13" t="n">
        <v>36.9</v>
      </c>
      <c r="H101" s="13" t="n">
        <f aca="false">IF(D101="","",D101*(1-E101))</f>
        <v>272.57</v>
      </c>
      <c r="I101" s="12" t="n">
        <f aca="false">IF(OR(G101="",H101=""),"",G101/H101)</f>
        <v>0.135378068019224</v>
      </c>
      <c r="J101" s="13" t="n">
        <f aca="false">IF(OR(B101="",C101=""),"",INDEX(Ref_Frete!$B$2:$G$54,MATCH(C101,Ref_Frete!$A$2:$A$54,0),IF(B101="Pequenos",2,IF(B101="Medios",4,6))))</f>
        <v>59.9</v>
      </c>
      <c r="K101" s="13" t="n">
        <f aca="false">IF(OR(B101="",C101=""),"",INDEX(Ref_Frete!$B$2:$G$54,MATCH(C101,Ref_Frete!$A$2:$A$54,0),IF(B101="Pequenos",1,IF(B101="Medios",3,5))))</f>
        <v>89</v>
      </c>
      <c r="L101" s="13" t="n">
        <f aca="false">IF(OR(J101="",K101=""),"",J101-K101)</f>
        <v>-29.1</v>
      </c>
      <c r="M101" s="13" t="n">
        <f aca="false">IF(OR(H101="",F101="",G101=""),"",H101-G101-F101-H101*$B$3+IF(L101="",0,L101))</f>
        <v>43.223</v>
      </c>
      <c r="N101" s="12" t="n">
        <f aca="false">IF(OR(M101="",H101=0,H101=""),"",M101/H101)</f>
        <v>0.15857577869905</v>
      </c>
      <c r="O101" s="22" t="str">
        <f aca="false">IF(N101="","",IF(N101&lt;0,"PREJUÍZO",IF(N101&lt;0.1,"CRÍTICO (&lt;10%)",IF(N101&lt;0.15,"ABAIXO DA META (10-15%)",IF(N101&lt;=0.2,"DENTRO DA META (15-20%)","ACIMA DA META (&gt;20%)")))))</f>
        <v>DENTRO DA META (15-20%)</v>
      </c>
      <c r="P101" s="23"/>
    </row>
    <row r="102" customFormat="false" ht="15" hidden="false" customHeight="true" outlineLevel="0" collapsed="false">
      <c r="A102" s="19" t="s">
        <v>131</v>
      </c>
      <c r="B102" s="19" t="s">
        <v>130</v>
      </c>
      <c r="C102" s="19" t="s">
        <v>98</v>
      </c>
      <c r="D102" s="20" t="n">
        <v>272.57</v>
      </c>
      <c r="E102" s="21" t="n">
        <v>0</v>
      </c>
      <c r="F102" s="20" t="n">
        <v>136.09</v>
      </c>
      <c r="G102" s="13" t="n">
        <v>36.9</v>
      </c>
      <c r="H102" s="13" t="n">
        <f aca="false">IF(D102="","",D102*(1-E102))</f>
        <v>272.57</v>
      </c>
      <c r="I102" s="12" t="n">
        <f aca="false">IF(OR(G102="",H102=""),"",G102/H102)</f>
        <v>0.135378068019224</v>
      </c>
      <c r="J102" s="13" t="n">
        <f aca="false">IF(OR(B102="",C102=""),"",INDEX(Ref_Frete!$B$2:$G$54,MATCH(C102,Ref_Frete!$A$2:$A$54,0),IF(B102="Pequenos",2,IF(B102="Medios",4,6))))</f>
        <v>39.9</v>
      </c>
      <c r="K102" s="13" t="n">
        <f aca="false">IF(OR(B102="",C102=""),"",INDEX(Ref_Frete!$B$2:$G$54,MATCH(C102,Ref_Frete!$A$2:$A$54,0),IF(B102="Pequenos",1,IF(B102="Medios",3,5))))</f>
        <v>49</v>
      </c>
      <c r="L102" s="13" t="n">
        <f aca="false">IF(OR(J102="",K102=""),"",J102-K102)</f>
        <v>-9.1</v>
      </c>
      <c r="M102" s="13" t="n">
        <f aca="false">IF(OR(H102="",F102="",G102=""),"",H102-G102-F102-H102*$B$3+IF(L102="",0,L102))</f>
        <v>63.223</v>
      </c>
      <c r="N102" s="12" t="n">
        <f aca="false">IF(OR(M102="",H102=0,H102=""),"",M102/H102)</f>
        <v>0.231951425321936</v>
      </c>
      <c r="O102" s="22" t="str">
        <f aca="false">IF(N102="","",IF(N102&lt;0,"PREJUÍZO",IF(N102&lt;0.1,"CRÍTICO (&lt;10%)",IF(N102&lt;0.15,"ABAIXO DA META (10-15%)",IF(N102&lt;=0.2,"DENTRO DA META (15-20%)","ACIMA DA META (&gt;20%)")))))</f>
        <v>ACIMA DA META (&gt;20%)</v>
      </c>
      <c r="P102" s="23"/>
    </row>
    <row r="103" s="31" customFormat="true" ht="15" hidden="true" customHeight="true" outlineLevel="0" collapsed="false">
      <c r="A103" s="24" t="s">
        <v>132</v>
      </c>
      <c r="B103" s="24" t="s">
        <v>130</v>
      </c>
      <c r="C103" s="24" t="s">
        <v>97</v>
      </c>
      <c r="D103" s="25" t="n">
        <v>290.17</v>
      </c>
      <c r="E103" s="26" t="n">
        <v>0</v>
      </c>
      <c r="F103" s="25" t="n">
        <v>140.97</v>
      </c>
      <c r="G103" s="27" t="n">
        <v>39.01</v>
      </c>
      <c r="H103" s="27" t="n">
        <f aca="false">IF(D103="","",D103*(1-E103))</f>
        <v>290.17</v>
      </c>
      <c r="I103" s="28" t="n">
        <f aca="false">IF(OR(G103="",H103=""),"",G103/H103)</f>
        <v>0.134438432642933</v>
      </c>
      <c r="J103" s="27" t="n">
        <f aca="false">IF(OR(B103="",C103=""),"",INDEX(Ref_Frete!$B$2:$G$54,MATCH(C103,Ref_Frete!$A$2:$A$54,0),IF(B103="Pequenos",2,IF(B103="Medios",4,6))))</f>
        <v>59.9</v>
      </c>
      <c r="K103" s="27" t="n">
        <f aca="false">IF(OR(B103="",C103=""),"",INDEX(Ref_Frete!$B$2:$G$54,MATCH(C103,Ref_Frete!$A$2:$A$54,0),IF(B103="Pequenos",1,IF(B103="Medios",3,5))))</f>
        <v>89</v>
      </c>
      <c r="L103" s="27" t="n">
        <f aca="false">IF(OR(J103="",K103=""),"",J103-K103)</f>
        <v>-29.1</v>
      </c>
      <c r="M103" s="27" t="n">
        <f aca="false">IF(OR(H103="",F103="",G103=""),"",H103-G103-F103-H103*$B$3+IF(L103="",0,L103))</f>
        <v>52.073</v>
      </c>
      <c r="N103" s="28" t="n">
        <f aca="false">IF(OR(M103="",H103=0,H103=""),"",M103/H103)</f>
        <v>0.179456870110625</v>
      </c>
      <c r="O103" s="29" t="str">
        <f aca="false">IF(N103="","",IF(N103&lt;0,"PREJUÍZO",IF(N103&lt;0.1,"CRÍTICO (&lt;10%)",IF(N103&lt;0.15,"ABAIXO DA META (10-15%)",IF(N103&lt;=0.2,"DENTRO DA META (15-20%)","ACIMA DA META (&gt;20%)")))))</f>
        <v>DENTRO DA META (15-20%)</v>
      </c>
      <c r="P103" s="30"/>
    </row>
    <row r="104" customFormat="false" ht="15" hidden="false" customHeight="true" outlineLevel="0" collapsed="false">
      <c r="A104" s="19" t="s">
        <v>132</v>
      </c>
      <c r="B104" s="19" t="s">
        <v>130</v>
      </c>
      <c r="C104" s="19" t="s">
        <v>98</v>
      </c>
      <c r="D104" s="20" t="n">
        <v>290.17</v>
      </c>
      <c r="E104" s="21" t="n">
        <v>0</v>
      </c>
      <c r="F104" s="20" t="n">
        <v>140.97</v>
      </c>
      <c r="G104" s="13" t="n">
        <v>39.01</v>
      </c>
      <c r="H104" s="13" t="n">
        <f aca="false">IF(D104="","",D104*(1-E104))</f>
        <v>290.17</v>
      </c>
      <c r="I104" s="12" t="n">
        <f aca="false">IF(OR(G104="",H104=""),"",G104/H104)</f>
        <v>0.134438432642933</v>
      </c>
      <c r="J104" s="13" t="n">
        <f aca="false">IF(OR(B104="",C104=""),"",INDEX(Ref_Frete!$B$2:$G$54,MATCH(C104,Ref_Frete!$A$2:$A$54,0),IF(B104="Pequenos",2,IF(B104="Medios",4,6))))</f>
        <v>39.9</v>
      </c>
      <c r="K104" s="13" t="n">
        <f aca="false">IF(OR(B104="",C104=""),"",INDEX(Ref_Frete!$B$2:$G$54,MATCH(C104,Ref_Frete!$A$2:$A$54,0),IF(B104="Pequenos",1,IF(B104="Medios",3,5))))</f>
        <v>49</v>
      </c>
      <c r="L104" s="13" t="n">
        <f aca="false">IF(OR(J104="",K104=""),"",J104-K104)</f>
        <v>-9.1</v>
      </c>
      <c r="M104" s="13" t="n">
        <f aca="false">IF(OR(H104="",F104="",G104=""),"",H104-G104-F104-H104*$B$3+IF(L104="",0,L104))</f>
        <v>72.073</v>
      </c>
      <c r="N104" s="12" t="n">
        <f aca="false">IF(OR(M104="",H104=0,H104=""),"",M104/H104)</f>
        <v>0.248381982975497</v>
      </c>
      <c r="O104" s="22" t="str">
        <f aca="false">IF(N104="","",IF(N104&lt;0,"PREJUÍZO",IF(N104&lt;0.1,"CRÍTICO (&lt;10%)",IF(N104&lt;0.15,"ABAIXO DA META (10-15%)",IF(N104&lt;=0.2,"DENTRO DA META (15-20%)","ACIMA DA META (&gt;20%)")))))</f>
        <v>ACIMA DA META (&gt;20%)</v>
      </c>
      <c r="P104" s="23"/>
    </row>
    <row r="105" customFormat="false" ht="15" hidden="true" customHeight="true" outlineLevel="0" collapsed="false">
      <c r="A105" s="19" t="s">
        <v>133</v>
      </c>
      <c r="B105" s="19" t="s">
        <v>130</v>
      </c>
      <c r="C105" s="19" t="s">
        <v>97</v>
      </c>
      <c r="D105" s="20" t="n">
        <v>299.31</v>
      </c>
      <c r="E105" s="21" t="n">
        <v>0</v>
      </c>
      <c r="F105" s="20" t="n">
        <v>152.83</v>
      </c>
      <c r="G105" s="13" t="n">
        <v>40.11</v>
      </c>
      <c r="H105" s="13" t="n">
        <f aca="false">IF(D105="","",D105*(1-E105))</f>
        <v>299.31</v>
      </c>
      <c r="I105" s="12" t="n">
        <f aca="false">IF(OR(G105="",H105=""),"",G105/H105)</f>
        <v>0.134008218903478</v>
      </c>
      <c r="J105" s="13" t="n">
        <f aca="false">IF(OR(B105="",C105=""),"",INDEX(Ref_Frete!$B$2:$G$54,MATCH(C105,Ref_Frete!$A$2:$A$54,0),IF(B105="Pequenos",2,IF(B105="Medios",4,6))))</f>
        <v>59.9</v>
      </c>
      <c r="K105" s="13" t="n">
        <f aca="false">IF(OR(B105="",C105=""),"",INDEX(Ref_Frete!$B$2:$G$54,MATCH(C105,Ref_Frete!$A$2:$A$54,0),IF(B105="Pequenos",1,IF(B105="Medios",3,5))))</f>
        <v>89</v>
      </c>
      <c r="L105" s="13" t="n">
        <f aca="false">IF(OR(J105="",K105=""),"",J105-K105)</f>
        <v>-29.1</v>
      </c>
      <c r="M105" s="13" t="n">
        <f aca="false">IF(OR(H105="",F105="",G105=""),"",H105-G105-F105-H105*$B$3+IF(L105="",0,L105))</f>
        <v>47.339</v>
      </c>
      <c r="N105" s="12" t="n">
        <f aca="false">IF(OR(M105="",H105=0,H105=""),"",M105/H105)</f>
        <v>0.158160435668705</v>
      </c>
      <c r="O105" s="22" t="str">
        <f aca="false">IF(N105="","",IF(N105&lt;0,"PREJUÍZO",IF(N105&lt;0.1,"CRÍTICO (&lt;10%)",IF(N105&lt;0.15,"ABAIXO DA META (10-15%)",IF(N105&lt;=0.2,"DENTRO DA META (15-20%)","ACIMA DA META (&gt;20%)")))))</f>
        <v>DENTRO DA META (15-20%)</v>
      </c>
      <c r="P105" s="23"/>
    </row>
    <row r="106" customFormat="false" ht="15" hidden="false" customHeight="true" outlineLevel="0" collapsed="false">
      <c r="A106" s="19" t="s">
        <v>133</v>
      </c>
      <c r="B106" s="19" t="s">
        <v>130</v>
      </c>
      <c r="C106" s="19" t="s">
        <v>98</v>
      </c>
      <c r="D106" s="20" t="n">
        <v>299.31</v>
      </c>
      <c r="E106" s="21" t="n">
        <v>0</v>
      </c>
      <c r="F106" s="20" t="n">
        <v>152.83</v>
      </c>
      <c r="G106" s="13" t="n">
        <v>40.11</v>
      </c>
      <c r="H106" s="13" t="n">
        <f aca="false">IF(D106="","",D106*(1-E106))</f>
        <v>299.31</v>
      </c>
      <c r="I106" s="12" t="n">
        <f aca="false">IF(OR(G106="",H106=""),"",G106/H106)</f>
        <v>0.134008218903478</v>
      </c>
      <c r="J106" s="13" t="n">
        <f aca="false">IF(OR(B106="",C106=""),"",INDEX(Ref_Frete!$B$2:$G$54,MATCH(C106,Ref_Frete!$A$2:$A$54,0),IF(B106="Pequenos",2,IF(B106="Medios",4,6))))</f>
        <v>39.9</v>
      </c>
      <c r="K106" s="13" t="n">
        <f aca="false">IF(OR(B106="",C106=""),"",INDEX(Ref_Frete!$B$2:$G$54,MATCH(C106,Ref_Frete!$A$2:$A$54,0),IF(B106="Pequenos",1,IF(B106="Medios",3,5))))</f>
        <v>49</v>
      </c>
      <c r="L106" s="13" t="n">
        <f aca="false">IF(OR(J106="",K106=""),"",J106-K106)</f>
        <v>-9.1</v>
      </c>
      <c r="M106" s="13" t="n">
        <f aca="false">IF(OR(H106="",F106="",G106=""),"",H106-G106-F106-H106*$B$3+IF(L106="",0,L106))</f>
        <v>67.339</v>
      </c>
      <c r="N106" s="12" t="n">
        <f aca="false">IF(OR(M106="",H106=0,H106=""),"",M106/H106)</f>
        <v>0.224980789148375</v>
      </c>
      <c r="O106" s="22" t="str">
        <f aca="false">IF(N106="","",IF(N106&lt;0,"PREJUÍZO",IF(N106&lt;0.1,"CRÍTICO (&lt;10%)",IF(N106&lt;0.15,"ABAIXO DA META (10-15%)",IF(N106&lt;=0.2,"DENTRO DA META (15-20%)","ACIMA DA META (&gt;20%)")))))</f>
        <v>ACIMA DA META (&gt;20%)</v>
      </c>
      <c r="P106" s="23"/>
    </row>
    <row r="107" customFormat="false" ht="15" hidden="true" customHeight="true" outlineLevel="0" collapsed="false">
      <c r="A107" s="19" t="s">
        <v>134</v>
      </c>
      <c r="B107" s="19" t="s">
        <v>130</v>
      </c>
      <c r="C107" s="19" t="s">
        <v>97</v>
      </c>
      <c r="D107" s="20" t="n">
        <v>335.68</v>
      </c>
      <c r="E107" s="21" t="n">
        <v>0</v>
      </c>
      <c r="F107" s="20" t="n">
        <v>172.67</v>
      </c>
      <c r="G107" s="13" t="n">
        <v>44.47</v>
      </c>
      <c r="H107" s="13" t="n">
        <f aca="false">IF(D107="","",D107*(1-E107))</f>
        <v>335.68</v>
      </c>
      <c r="I107" s="12" t="n">
        <f aca="false">IF(OR(G107="",H107=""),"",G107/H107)</f>
        <v>0.132477359389895</v>
      </c>
      <c r="J107" s="13" t="n">
        <f aca="false">IF(OR(B107="",C107=""),"",INDEX(Ref_Frete!$B$2:$G$54,MATCH(C107,Ref_Frete!$A$2:$A$54,0),IF(B107="Pequenos",2,IF(B107="Medios",4,6))))</f>
        <v>59.9</v>
      </c>
      <c r="K107" s="13" t="n">
        <f aca="false">IF(OR(B107="",C107=""),"",INDEX(Ref_Frete!$B$2:$G$54,MATCH(C107,Ref_Frete!$A$2:$A$54,0),IF(B107="Pequenos",1,IF(B107="Medios",3,5))))</f>
        <v>89</v>
      </c>
      <c r="L107" s="13" t="n">
        <f aca="false">IF(OR(J107="",K107=""),"",J107-K107)</f>
        <v>-29.1</v>
      </c>
      <c r="M107" s="13" t="n">
        <f aca="false">IF(OR(H107="",F107="",G107=""),"",H107-G107-F107-H107*$B$3+IF(L107="",0,L107))</f>
        <v>55.872</v>
      </c>
      <c r="N107" s="12" t="n">
        <f aca="false">IF(OR(M107="",H107=0,H107=""),"",M107/H107)</f>
        <v>0.166444232602479</v>
      </c>
      <c r="O107" s="22" t="str">
        <f aca="false">IF(N107="","",IF(N107&lt;0,"PREJUÍZO",IF(N107&lt;0.1,"CRÍTICO (&lt;10%)",IF(N107&lt;0.15,"ABAIXO DA META (10-15%)",IF(N107&lt;=0.2,"DENTRO DA META (15-20%)","ACIMA DA META (&gt;20%)")))))</f>
        <v>DENTRO DA META (15-20%)</v>
      </c>
      <c r="P107" s="23"/>
    </row>
    <row r="108" customFormat="false" ht="15" hidden="false" customHeight="true" outlineLevel="0" collapsed="false">
      <c r="A108" s="19" t="s">
        <v>134</v>
      </c>
      <c r="B108" s="19" t="s">
        <v>130</v>
      </c>
      <c r="C108" s="19" t="s">
        <v>98</v>
      </c>
      <c r="D108" s="20" t="n">
        <v>335.68</v>
      </c>
      <c r="E108" s="21" t="n">
        <v>0</v>
      </c>
      <c r="F108" s="20" t="n">
        <v>172.67</v>
      </c>
      <c r="G108" s="13" t="n">
        <v>44.47</v>
      </c>
      <c r="H108" s="13" t="n">
        <f aca="false">IF(D108="","",D108*(1-E108))</f>
        <v>335.68</v>
      </c>
      <c r="I108" s="12" t="n">
        <f aca="false">IF(OR(G108="",H108=""),"",G108/H108)</f>
        <v>0.132477359389895</v>
      </c>
      <c r="J108" s="13" t="n">
        <f aca="false">IF(OR(B108="",C108=""),"",INDEX(Ref_Frete!$B$2:$G$54,MATCH(C108,Ref_Frete!$A$2:$A$54,0),IF(B108="Pequenos",2,IF(B108="Medios",4,6))))</f>
        <v>39.9</v>
      </c>
      <c r="K108" s="13" t="n">
        <f aca="false">IF(OR(B108="",C108=""),"",INDEX(Ref_Frete!$B$2:$G$54,MATCH(C108,Ref_Frete!$A$2:$A$54,0),IF(B108="Pequenos",1,IF(B108="Medios",3,5))))</f>
        <v>49</v>
      </c>
      <c r="L108" s="13" t="n">
        <f aca="false">IF(OR(J108="",K108=""),"",J108-K108)</f>
        <v>-9.1</v>
      </c>
      <c r="M108" s="13" t="n">
        <f aca="false">IF(OR(H108="",F108="",G108=""),"",H108-G108-F108-H108*$B$3+IF(L108="",0,L108))</f>
        <v>75.872</v>
      </c>
      <c r="N108" s="12" t="n">
        <f aca="false">IF(OR(M108="",H108=0,H108=""),"",M108/H108)</f>
        <v>0.22602478551001</v>
      </c>
      <c r="O108" s="22" t="str">
        <f aca="false">IF(N108="","",IF(N108&lt;0,"PREJUÍZO",IF(N108&lt;0.1,"CRÍTICO (&lt;10%)",IF(N108&lt;0.15,"ABAIXO DA META (10-15%)",IF(N108&lt;=0.2,"DENTRO DA META (15-20%)","ACIMA DA META (&gt;20%)")))))</f>
        <v>ACIMA DA META (&gt;20%)</v>
      </c>
      <c r="P108" s="23"/>
    </row>
    <row r="109" customFormat="false" ht="15" hidden="true" customHeight="true" outlineLevel="0" collapsed="false">
      <c r="A109" s="19" t="s">
        <v>135</v>
      </c>
      <c r="B109" s="19" t="s">
        <v>130</v>
      </c>
      <c r="C109" s="19" t="s">
        <v>97</v>
      </c>
      <c r="D109" s="20" t="n">
        <v>318.56</v>
      </c>
      <c r="E109" s="21" t="n">
        <v>0</v>
      </c>
      <c r="F109" s="20" t="n">
        <v>159</v>
      </c>
      <c r="G109" s="13" t="n">
        <v>42.42</v>
      </c>
      <c r="H109" s="13" t="n">
        <f aca="false">IF(D109="","",D109*(1-E109))</f>
        <v>318.56</v>
      </c>
      <c r="I109" s="12" t="n">
        <f aca="false">IF(OR(G109="",H109=""),"",G109/H109)</f>
        <v>0.133161727774987</v>
      </c>
      <c r="J109" s="13" t="n">
        <f aca="false">IF(OR(B109="",C109=""),"",INDEX(Ref_Frete!$B$2:$G$54,MATCH(C109,Ref_Frete!$A$2:$A$54,0),IF(B109="Pequenos",2,IF(B109="Medios",4,6))))</f>
        <v>59.9</v>
      </c>
      <c r="K109" s="13" t="n">
        <f aca="false">IF(OR(B109="",C109=""),"",INDEX(Ref_Frete!$B$2:$G$54,MATCH(C109,Ref_Frete!$A$2:$A$54,0),IF(B109="Pequenos",1,IF(B109="Medios",3,5))))</f>
        <v>89</v>
      </c>
      <c r="L109" s="13" t="n">
        <f aca="false">IF(OR(J109="",K109=""),"",J109-K109)</f>
        <v>-29.1</v>
      </c>
      <c r="M109" s="13" t="n">
        <f aca="false">IF(OR(H109="",F109="",G109=""),"",H109-G109-F109-H109*$B$3+IF(L109="",0,L109))</f>
        <v>56.184</v>
      </c>
      <c r="N109" s="12" t="n">
        <f aca="false">IF(OR(M109="",H109=0,H109=""),"",M109/H109)</f>
        <v>0.176368658965344</v>
      </c>
      <c r="O109" s="22" t="str">
        <f aca="false">IF(N109="","",IF(N109&lt;0,"PREJUÍZO",IF(N109&lt;0.1,"CRÍTICO (&lt;10%)",IF(N109&lt;0.15,"ABAIXO DA META (10-15%)",IF(N109&lt;=0.2,"DENTRO DA META (15-20%)","ACIMA DA META (&gt;20%)")))))</f>
        <v>DENTRO DA META (15-20%)</v>
      </c>
      <c r="P109" s="23"/>
    </row>
    <row r="110" customFormat="false" ht="15" hidden="false" customHeight="true" outlineLevel="0" collapsed="false">
      <c r="A110" s="19" t="s">
        <v>135</v>
      </c>
      <c r="B110" s="19" t="s">
        <v>130</v>
      </c>
      <c r="C110" s="19" t="s">
        <v>98</v>
      </c>
      <c r="D110" s="20" t="n">
        <v>318.56</v>
      </c>
      <c r="E110" s="21" t="n">
        <v>0</v>
      </c>
      <c r="F110" s="20" t="n">
        <v>159</v>
      </c>
      <c r="G110" s="13" t="n">
        <v>42.42</v>
      </c>
      <c r="H110" s="13" t="n">
        <f aca="false">IF(D110="","",D110*(1-E110))</f>
        <v>318.56</v>
      </c>
      <c r="I110" s="12" t="n">
        <f aca="false">IF(OR(G110="",H110=""),"",G110/H110)</f>
        <v>0.133161727774987</v>
      </c>
      <c r="J110" s="13" t="n">
        <f aca="false">IF(OR(B110="",C110=""),"",INDEX(Ref_Frete!$B$2:$G$54,MATCH(C110,Ref_Frete!$A$2:$A$54,0),IF(B110="Pequenos",2,IF(B110="Medios",4,6))))</f>
        <v>39.9</v>
      </c>
      <c r="K110" s="13" t="n">
        <f aca="false">IF(OR(B110="",C110=""),"",INDEX(Ref_Frete!$B$2:$G$54,MATCH(C110,Ref_Frete!$A$2:$A$54,0),IF(B110="Pequenos",1,IF(B110="Medios",3,5))))</f>
        <v>49</v>
      </c>
      <c r="L110" s="13" t="n">
        <f aca="false">IF(OR(J110="",K110=""),"",J110-K110)</f>
        <v>-9.1</v>
      </c>
      <c r="M110" s="13" t="n">
        <f aca="false">IF(OR(H110="",F110="",G110=""),"",H110-G110-F110-H110*$B$3+IF(L110="",0,L110))</f>
        <v>76.184</v>
      </c>
      <c r="N110" s="12" t="n">
        <f aca="false">IF(OR(M110="",H110=0,H110=""),"",M110/H110)</f>
        <v>0.239151180311401</v>
      </c>
      <c r="O110" s="22" t="str">
        <f aca="false">IF(N110="","",IF(N110&lt;0,"PREJUÍZO",IF(N110&lt;0.1,"CRÍTICO (&lt;10%)",IF(N110&lt;0.15,"ABAIXO DA META (10-15%)",IF(N110&lt;=0.2,"DENTRO DA META (15-20%)","ACIMA DA META (&gt;20%)")))))</f>
        <v>ACIMA DA META (&gt;20%)</v>
      </c>
      <c r="P110" s="23"/>
    </row>
    <row r="111" customFormat="false" ht="15" hidden="true" customHeight="true" outlineLevel="0" collapsed="false">
      <c r="A111" s="19" t="s">
        <v>136</v>
      </c>
      <c r="B111" s="19" t="s">
        <v>130</v>
      </c>
      <c r="C111" s="19" t="s">
        <v>97</v>
      </c>
      <c r="D111" s="20" t="n">
        <v>385.56</v>
      </c>
      <c r="E111" s="21" t="n">
        <v>0</v>
      </c>
      <c r="F111" s="20" t="n">
        <v>203.27</v>
      </c>
      <c r="G111" s="13" t="n">
        <v>50.46</v>
      </c>
      <c r="H111" s="13" t="n">
        <f aca="false">IF(D111="","",D111*(1-E111))</f>
        <v>385.56</v>
      </c>
      <c r="I111" s="12" t="n">
        <f aca="false">IF(OR(G111="",H111=""),"",G111/H111)</f>
        <v>0.130874572051043</v>
      </c>
      <c r="J111" s="13" t="n">
        <f aca="false">IF(OR(B111="",C111=""),"",INDEX(Ref_Frete!$B$2:$G$54,MATCH(C111,Ref_Frete!$A$2:$A$54,0),IF(B111="Pequenos",2,IF(B111="Medios",4,6))))</f>
        <v>59.9</v>
      </c>
      <c r="K111" s="13" t="n">
        <f aca="false">IF(OR(B111="",C111=""),"",INDEX(Ref_Frete!$B$2:$G$54,MATCH(C111,Ref_Frete!$A$2:$A$54,0),IF(B111="Pequenos",1,IF(B111="Medios",3,5))))</f>
        <v>89</v>
      </c>
      <c r="L111" s="13" t="n">
        <f aca="false">IF(OR(J111="",K111=""),"",J111-K111)</f>
        <v>-29.1</v>
      </c>
      <c r="M111" s="13" t="n">
        <f aca="false">IF(OR(H111="",F111="",G111=""),"",H111-G111-F111-H111*$B$3+IF(L111="",0,L111))</f>
        <v>64.174</v>
      </c>
      <c r="N111" s="12" t="n">
        <f aca="false">IF(OR(M111="",H111=0,H111=""),"",M111/H111)</f>
        <v>0.16644361448283</v>
      </c>
      <c r="O111" s="22" t="str">
        <f aca="false">IF(N111="","",IF(N111&lt;0,"PREJUÍZO",IF(N111&lt;0.1,"CRÍTICO (&lt;10%)",IF(N111&lt;0.15,"ABAIXO DA META (10-15%)",IF(N111&lt;=0.2,"DENTRO DA META (15-20%)","ACIMA DA META (&gt;20%)")))))</f>
        <v>DENTRO DA META (15-20%)</v>
      </c>
      <c r="P111" s="23"/>
    </row>
    <row r="112" customFormat="false" ht="15" hidden="false" customHeight="true" outlineLevel="0" collapsed="false">
      <c r="A112" s="19" t="s">
        <v>136</v>
      </c>
      <c r="B112" s="19" t="s">
        <v>130</v>
      </c>
      <c r="C112" s="19" t="s">
        <v>98</v>
      </c>
      <c r="D112" s="20" t="n">
        <v>385.56</v>
      </c>
      <c r="E112" s="21" t="n">
        <v>0</v>
      </c>
      <c r="F112" s="20" t="n">
        <v>203.27</v>
      </c>
      <c r="G112" s="13" t="n">
        <v>50.46</v>
      </c>
      <c r="H112" s="13" t="n">
        <f aca="false">IF(D112="","",D112*(1-E112))</f>
        <v>385.56</v>
      </c>
      <c r="I112" s="12" t="n">
        <f aca="false">IF(OR(G112="",H112=""),"",G112/H112)</f>
        <v>0.130874572051043</v>
      </c>
      <c r="J112" s="13" t="n">
        <f aca="false">IF(OR(B112="",C112=""),"",INDEX(Ref_Frete!$B$2:$G$54,MATCH(C112,Ref_Frete!$A$2:$A$54,0),IF(B112="Pequenos",2,IF(B112="Medios",4,6))))</f>
        <v>39.9</v>
      </c>
      <c r="K112" s="13" t="n">
        <f aca="false">IF(OR(B112="",C112=""),"",INDEX(Ref_Frete!$B$2:$G$54,MATCH(C112,Ref_Frete!$A$2:$A$54,0),IF(B112="Pequenos",1,IF(B112="Medios",3,5))))</f>
        <v>49</v>
      </c>
      <c r="L112" s="13" t="n">
        <f aca="false">IF(OR(J112="",K112=""),"",J112-K112)</f>
        <v>-9.1</v>
      </c>
      <c r="M112" s="13" t="n">
        <f aca="false">IF(OR(H112="",F112="",G112=""),"",H112-G112-F112-H112*$B$3+IF(L112="",0,L112))</f>
        <v>84.174</v>
      </c>
      <c r="N112" s="12" t="n">
        <f aca="false">IF(OR(M112="",H112=0,H112=""),"",M112/H112)</f>
        <v>0.218316215375039</v>
      </c>
      <c r="O112" s="22" t="str">
        <f aca="false">IF(N112="","",IF(N112&lt;0,"PREJUÍZO",IF(N112&lt;0.1,"CRÍTICO (&lt;10%)",IF(N112&lt;0.15,"ABAIXO DA META (10-15%)",IF(N112&lt;=0.2,"DENTRO DA META (15-20%)","ACIMA DA META (&gt;20%)")))))</f>
        <v>ACIMA DA META (&gt;20%)</v>
      </c>
      <c r="P112" s="23"/>
    </row>
    <row r="113" customFormat="false" ht="15" hidden="true" customHeight="true" outlineLevel="0" collapsed="false">
      <c r="A113" s="19" t="s">
        <v>137</v>
      </c>
      <c r="B113" s="19" t="s">
        <v>130</v>
      </c>
      <c r="C113" s="19" t="s">
        <v>97</v>
      </c>
      <c r="D113" s="20" t="n">
        <v>408.32</v>
      </c>
      <c r="E113" s="21" t="n">
        <v>0</v>
      </c>
      <c r="F113" s="20" t="n">
        <v>208.28</v>
      </c>
      <c r="G113" s="13" t="n">
        <v>53.19</v>
      </c>
      <c r="H113" s="13" t="n">
        <f aca="false">IF(D113="","",D113*(1-E113))</f>
        <v>408.32</v>
      </c>
      <c r="I113" s="12" t="n">
        <f aca="false">IF(OR(G113="",H113=""),"",G113/H113)</f>
        <v>0.130265478056426</v>
      </c>
      <c r="J113" s="13" t="n">
        <f aca="false">IF(OR(B113="",C113=""),"",INDEX(Ref_Frete!$B$2:$G$54,MATCH(C113,Ref_Frete!$A$2:$A$54,0),IF(B113="Pequenos",2,IF(B113="Medios",4,6))))</f>
        <v>59.9</v>
      </c>
      <c r="K113" s="13" t="n">
        <f aca="false">IF(OR(B113="",C113=""),"",INDEX(Ref_Frete!$B$2:$G$54,MATCH(C113,Ref_Frete!$A$2:$A$54,0),IF(B113="Pequenos",1,IF(B113="Medios",3,5))))</f>
        <v>89</v>
      </c>
      <c r="L113" s="13" t="n">
        <f aca="false">IF(OR(J113="",K113=""),"",J113-K113)</f>
        <v>-29.1</v>
      </c>
      <c r="M113" s="13" t="n">
        <f aca="false">IF(OR(H113="",F113="",G113=""),"",H113-G113-F113-H113*$B$3+IF(L113="",0,L113))</f>
        <v>76.918</v>
      </c>
      <c r="N113" s="12" t="n">
        <f aca="false">IF(OR(M113="",H113=0,H113=""),"",M113/H113)</f>
        <v>0.188376763322884</v>
      </c>
      <c r="O113" s="22" t="str">
        <f aca="false">IF(N113="","",IF(N113&lt;0,"PREJUÍZO",IF(N113&lt;0.1,"CRÍTICO (&lt;10%)",IF(N113&lt;0.15,"ABAIXO DA META (10-15%)",IF(N113&lt;=0.2,"DENTRO DA META (15-20%)","ACIMA DA META (&gt;20%)")))))</f>
        <v>DENTRO DA META (15-20%)</v>
      </c>
      <c r="P113" s="23"/>
    </row>
    <row r="114" customFormat="false" ht="15" hidden="false" customHeight="true" outlineLevel="0" collapsed="false">
      <c r="A114" s="19" t="s">
        <v>137</v>
      </c>
      <c r="B114" s="19" t="s">
        <v>130</v>
      </c>
      <c r="C114" s="19" t="s">
        <v>98</v>
      </c>
      <c r="D114" s="20" t="n">
        <v>408.32</v>
      </c>
      <c r="E114" s="21" t="n">
        <v>0</v>
      </c>
      <c r="F114" s="20" t="n">
        <v>208.28</v>
      </c>
      <c r="G114" s="13" t="n">
        <v>53.19</v>
      </c>
      <c r="H114" s="13" t="n">
        <f aca="false">IF(D114="","",D114*(1-E114))</f>
        <v>408.32</v>
      </c>
      <c r="I114" s="12" t="n">
        <f aca="false">IF(OR(G114="",H114=""),"",G114/H114)</f>
        <v>0.130265478056426</v>
      </c>
      <c r="J114" s="13" t="n">
        <f aca="false">IF(OR(B114="",C114=""),"",INDEX(Ref_Frete!$B$2:$G$54,MATCH(C114,Ref_Frete!$A$2:$A$54,0),IF(B114="Pequenos",2,IF(B114="Medios",4,6))))</f>
        <v>39.9</v>
      </c>
      <c r="K114" s="13" t="n">
        <f aca="false">IF(OR(B114="",C114=""),"",INDEX(Ref_Frete!$B$2:$G$54,MATCH(C114,Ref_Frete!$A$2:$A$54,0),IF(B114="Pequenos",1,IF(B114="Medios",3,5))))</f>
        <v>49</v>
      </c>
      <c r="L114" s="13" t="n">
        <f aca="false">IF(OR(J114="",K114=""),"",J114-K114)</f>
        <v>-9.1</v>
      </c>
      <c r="M114" s="13" t="n">
        <f aca="false">IF(OR(H114="",F114="",G114=""),"",H114-G114-F114-H114*$B$3+IF(L114="",0,L114))</f>
        <v>96.918</v>
      </c>
      <c r="N114" s="12" t="n">
        <f aca="false">IF(OR(M114="",H114=0,H114=""),"",M114/H114)</f>
        <v>0.237357954545455</v>
      </c>
      <c r="O114" s="22" t="str">
        <f aca="false">IF(N114="","",IF(N114&lt;0,"PREJUÍZO",IF(N114&lt;0.1,"CRÍTICO (&lt;10%)",IF(N114&lt;0.15,"ABAIXO DA META (10-15%)",IF(N114&lt;=0.2,"DENTRO DA META (15-20%)","ACIMA DA META (&gt;20%)")))))</f>
        <v>ACIMA DA META (&gt;20%)</v>
      </c>
      <c r="P114" s="23"/>
    </row>
    <row r="115" customFormat="false" ht="15" hidden="true" customHeight="true" outlineLevel="0" collapsed="false">
      <c r="A115" s="19" t="s">
        <v>138</v>
      </c>
      <c r="B115" s="19" t="s">
        <v>130</v>
      </c>
      <c r="C115" s="19" t="s">
        <v>97</v>
      </c>
      <c r="D115" s="20" t="n">
        <v>398.35</v>
      </c>
      <c r="E115" s="21" t="n">
        <v>0</v>
      </c>
      <c r="F115" s="20" t="n">
        <v>211.1</v>
      </c>
      <c r="G115" s="13" t="n">
        <v>51.99</v>
      </c>
      <c r="H115" s="13" t="n">
        <f aca="false">IF(D115="","",D115*(1-E115))</f>
        <v>398.35</v>
      </c>
      <c r="I115" s="12" t="n">
        <f aca="false">IF(OR(G115="",H115=""),"",G115/H115)</f>
        <v>0.130513367641521</v>
      </c>
      <c r="J115" s="13" t="n">
        <f aca="false">IF(OR(B115="",C115=""),"",INDEX(Ref_Frete!$B$2:$G$54,MATCH(C115,Ref_Frete!$A$2:$A$54,0),IF(B115="Pequenos",2,IF(B115="Medios",4,6))))</f>
        <v>59.9</v>
      </c>
      <c r="K115" s="13" t="n">
        <f aca="false">IF(OR(B115="",C115=""),"",INDEX(Ref_Frete!$B$2:$G$54,MATCH(C115,Ref_Frete!$A$2:$A$54,0),IF(B115="Pequenos",1,IF(B115="Medios",3,5))))</f>
        <v>89</v>
      </c>
      <c r="L115" s="13" t="n">
        <f aca="false">IF(OR(J115="",K115=""),"",J115-K115)</f>
        <v>-29.1</v>
      </c>
      <c r="M115" s="13" t="n">
        <f aca="false">IF(OR(H115="",F115="",G115=""),"",H115-G115-F115-H115*$B$3+IF(L115="",0,L115))</f>
        <v>66.325</v>
      </c>
      <c r="N115" s="12" t="n">
        <f aca="false">IF(OR(M115="",H115=0,H115=""),"",M115/H115)</f>
        <v>0.166499309652316</v>
      </c>
      <c r="O115" s="22" t="str">
        <f aca="false">IF(N115="","",IF(N115&lt;0,"PREJUÍZO",IF(N115&lt;0.1,"CRÍTICO (&lt;10%)",IF(N115&lt;0.15,"ABAIXO DA META (10-15%)",IF(N115&lt;=0.2,"DENTRO DA META (15-20%)","ACIMA DA META (&gt;20%)")))))</f>
        <v>DENTRO DA META (15-20%)</v>
      </c>
      <c r="P115" s="23"/>
    </row>
    <row r="116" customFormat="false" ht="15" hidden="false" customHeight="true" outlineLevel="0" collapsed="false">
      <c r="A116" s="19" t="s">
        <v>138</v>
      </c>
      <c r="B116" s="19" t="s">
        <v>130</v>
      </c>
      <c r="C116" s="19" t="s">
        <v>98</v>
      </c>
      <c r="D116" s="20" t="n">
        <v>398.35</v>
      </c>
      <c r="E116" s="21" t="n">
        <v>0</v>
      </c>
      <c r="F116" s="20" t="n">
        <v>211.1</v>
      </c>
      <c r="G116" s="13" t="n">
        <v>51.99</v>
      </c>
      <c r="H116" s="13" t="n">
        <f aca="false">IF(D116="","",D116*(1-E116))</f>
        <v>398.35</v>
      </c>
      <c r="I116" s="12" t="n">
        <f aca="false">IF(OR(G116="",H116=""),"",G116/H116)</f>
        <v>0.130513367641521</v>
      </c>
      <c r="J116" s="13" t="n">
        <f aca="false">IF(OR(B116="",C116=""),"",INDEX(Ref_Frete!$B$2:$G$54,MATCH(C116,Ref_Frete!$A$2:$A$54,0),IF(B116="Pequenos",2,IF(B116="Medios",4,6))))</f>
        <v>39.9</v>
      </c>
      <c r="K116" s="13" t="n">
        <f aca="false">IF(OR(B116="",C116=""),"",INDEX(Ref_Frete!$B$2:$G$54,MATCH(C116,Ref_Frete!$A$2:$A$54,0),IF(B116="Pequenos",1,IF(B116="Medios",3,5))))</f>
        <v>49</v>
      </c>
      <c r="L116" s="13" t="n">
        <f aca="false">IF(OR(J116="",K116=""),"",J116-K116)</f>
        <v>-9.1</v>
      </c>
      <c r="M116" s="13" t="n">
        <f aca="false">IF(OR(H116="",F116="",G116=""),"",H116-G116-F116-H116*$B$3+IF(L116="",0,L116))</f>
        <v>86.325</v>
      </c>
      <c r="N116" s="12" t="n">
        <f aca="false">IF(OR(M116="",H116=0,H116=""),"",M116/H116)</f>
        <v>0.216706413957575</v>
      </c>
      <c r="O116" s="22" t="str">
        <f aca="false">IF(N116="","",IF(N116&lt;0,"PREJUÍZO",IF(N116&lt;0.1,"CRÍTICO (&lt;10%)",IF(N116&lt;0.15,"ABAIXO DA META (10-15%)",IF(N116&lt;=0.2,"DENTRO DA META (15-20%)","ACIMA DA META (&gt;20%)")))))</f>
        <v>ACIMA DA META (&gt;20%)</v>
      </c>
      <c r="P116" s="23"/>
    </row>
    <row r="117" customFormat="false" ht="15" hidden="true" customHeight="true" outlineLevel="0" collapsed="false">
      <c r="A117" s="19" t="s">
        <v>51</v>
      </c>
      <c r="B117" s="19" t="s">
        <v>130</v>
      </c>
      <c r="C117" s="19" t="s">
        <v>97</v>
      </c>
      <c r="D117" s="20" t="n">
        <v>356.3</v>
      </c>
      <c r="E117" s="21" t="n">
        <v>0</v>
      </c>
      <c r="F117" s="20" t="n">
        <v>164.3</v>
      </c>
      <c r="G117" s="13" t="n">
        <v>46.94</v>
      </c>
      <c r="H117" s="13" t="n">
        <f aca="false">IF(D117="","",D117*(1-E117))</f>
        <v>356.3</v>
      </c>
      <c r="I117" s="12" t="n">
        <f aca="false">IF(OR(G117="",H117=""),"",G117/H117)</f>
        <v>0.13174291327533</v>
      </c>
      <c r="J117" s="13" t="n">
        <f aca="false">IF(OR(B117="",C117=""),"",INDEX(Ref_Frete!$B$2:$G$54,MATCH(C117,Ref_Frete!$A$2:$A$54,0),IF(B117="Pequenos",2,IF(B117="Medios",4,6))))</f>
        <v>59.9</v>
      </c>
      <c r="K117" s="13" t="n">
        <f aca="false">IF(OR(B117="",C117=""),"",INDEX(Ref_Frete!$B$2:$G$54,MATCH(C117,Ref_Frete!$A$2:$A$54,0),IF(B117="Pequenos",1,IF(B117="Medios",3,5))))</f>
        <v>89</v>
      </c>
      <c r="L117" s="13" t="n">
        <f aca="false">IF(OR(J117="",K117=""),"",J117-K117)</f>
        <v>-29.1</v>
      </c>
      <c r="M117" s="13" t="n">
        <f aca="false">IF(OR(H117="",F117="",G117=""),"",H117-G117-F117-H117*$B$3+IF(L117="",0,L117))</f>
        <v>80.33</v>
      </c>
      <c r="N117" s="12" t="n">
        <f aca="false">IF(OR(M117="",H117=0,H117=""),"",M117/H117)</f>
        <v>0.225456076340163</v>
      </c>
      <c r="O117" s="22" t="str">
        <f aca="false">IF(N117="","",IF(N117&lt;0,"PREJUÍZO",IF(N117&lt;0.1,"CRÍTICO (&lt;10%)",IF(N117&lt;0.15,"ABAIXO DA META (10-15%)",IF(N117&lt;=0.2,"DENTRO DA META (15-20%)","ACIMA DA META (&gt;20%)")))))</f>
        <v>ACIMA DA META (&gt;20%)</v>
      </c>
      <c r="P117" s="23"/>
    </row>
    <row r="118" customFormat="false" ht="15" hidden="false" customHeight="true" outlineLevel="0" collapsed="false">
      <c r="A118" s="19" t="s">
        <v>51</v>
      </c>
      <c r="B118" s="19" t="s">
        <v>130</v>
      </c>
      <c r="C118" s="19" t="s">
        <v>98</v>
      </c>
      <c r="D118" s="20" t="n">
        <v>356.3</v>
      </c>
      <c r="E118" s="21" t="n">
        <v>0</v>
      </c>
      <c r="F118" s="20" t="n">
        <v>164.3</v>
      </c>
      <c r="G118" s="13" t="n">
        <v>46.94</v>
      </c>
      <c r="H118" s="13" t="n">
        <f aca="false">IF(D118="","",D118*(1-E118))</f>
        <v>356.3</v>
      </c>
      <c r="I118" s="12" t="n">
        <f aca="false">IF(OR(G118="",H118=""),"",G118/H118)</f>
        <v>0.13174291327533</v>
      </c>
      <c r="J118" s="13" t="n">
        <f aca="false">IF(OR(B118="",C118=""),"",INDEX(Ref_Frete!$B$2:$G$54,MATCH(C118,Ref_Frete!$A$2:$A$54,0),IF(B118="Pequenos",2,IF(B118="Medios",4,6))))</f>
        <v>39.9</v>
      </c>
      <c r="K118" s="13" t="n">
        <f aca="false">IF(OR(B118="",C118=""),"",INDEX(Ref_Frete!$B$2:$G$54,MATCH(C118,Ref_Frete!$A$2:$A$54,0),IF(B118="Pequenos",1,IF(B118="Medios",3,5))))</f>
        <v>49</v>
      </c>
      <c r="L118" s="13" t="n">
        <f aca="false">IF(OR(J118="",K118=""),"",J118-K118)</f>
        <v>-9.1</v>
      </c>
      <c r="M118" s="13" t="n">
        <f aca="false">IF(OR(H118="",F118="",G118=""),"",H118-G118-F118-H118*$B$3+IF(L118="",0,L118))</f>
        <v>100.33</v>
      </c>
      <c r="N118" s="12" t="n">
        <f aca="false">IF(OR(M118="",H118=0,H118=""),"",M118/H118)</f>
        <v>0.281588548975582</v>
      </c>
      <c r="O118" s="22" t="str">
        <f aca="false">IF(N118="","",IF(N118&lt;0,"PREJUÍZO",IF(N118&lt;0.1,"CRÍTICO (&lt;10%)",IF(N118&lt;0.15,"ABAIXO DA META (10-15%)",IF(N118&lt;=0.2,"DENTRO DA META (15-20%)","ACIMA DA META (&gt;20%)")))))</f>
        <v>ACIMA DA META (&gt;20%)</v>
      </c>
      <c r="P118" s="23"/>
    </row>
    <row r="119" customFormat="false" ht="15" hidden="true" customHeight="true" outlineLevel="0" collapsed="false">
      <c r="A119" s="19" t="s">
        <v>139</v>
      </c>
      <c r="B119" s="19" t="s">
        <v>130</v>
      </c>
      <c r="C119" s="19" t="s">
        <v>97</v>
      </c>
      <c r="D119" s="20" t="n">
        <v>296.92</v>
      </c>
      <c r="E119" s="21" t="n">
        <v>0</v>
      </c>
      <c r="F119" s="20" t="n">
        <v>151.33</v>
      </c>
      <c r="G119" s="13" t="n">
        <v>39.82</v>
      </c>
      <c r="H119" s="13" t="n">
        <f aca="false">IF(D119="","",D119*(1-E119))</f>
        <v>296.92</v>
      </c>
      <c r="I119" s="12" t="n">
        <f aca="false">IF(OR(G119="",H119=""),"",G119/H119)</f>
        <v>0.13411019803314</v>
      </c>
      <c r="J119" s="13" t="n">
        <f aca="false">IF(OR(B119="",C119=""),"",INDEX(Ref_Frete!$B$2:$G$54,MATCH(C119,Ref_Frete!$A$2:$A$54,0),IF(B119="Pequenos",2,IF(B119="Medios",4,6))))</f>
        <v>59.9</v>
      </c>
      <c r="K119" s="13" t="n">
        <f aca="false">IF(OR(B119="",C119=""),"",INDEX(Ref_Frete!$B$2:$G$54,MATCH(C119,Ref_Frete!$A$2:$A$54,0),IF(B119="Pequenos",1,IF(B119="Medios",3,5))))</f>
        <v>89</v>
      </c>
      <c r="L119" s="13" t="n">
        <f aca="false">IF(OR(J119="",K119=""),"",J119-K119)</f>
        <v>-29.1</v>
      </c>
      <c r="M119" s="13" t="n">
        <f aca="false">IF(OR(H119="",F119="",G119=""),"",H119-G119-F119-H119*$B$3+IF(L119="",0,L119))</f>
        <v>46.978</v>
      </c>
      <c r="N119" s="12" t="n">
        <f aca="false">IF(OR(M119="",H119=0,H119=""),"",M119/H119)</f>
        <v>0.158217701737842</v>
      </c>
      <c r="O119" s="22" t="str">
        <f aca="false">IF(N119="","",IF(N119&lt;0,"PREJUÍZO",IF(N119&lt;0.1,"CRÍTICO (&lt;10%)",IF(N119&lt;0.15,"ABAIXO DA META (10-15%)",IF(N119&lt;=0.2,"DENTRO DA META (15-20%)","ACIMA DA META (&gt;20%)")))))</f>
        <v>DENTRO DA META (15-20%)</v>
      </c>
      <c r="P119" s="23"/>
    </row>
    <row r="120" customFormat="false" ht="15" hidden="false" customHeight="true" outlineLevel="0" collapsed="false">
      <c r="A120" s="19" t="s">
        <v>139</v>
      </c>
      <c r="B120" s="19" t="s">
        <v>130</v>
      </c>
      <c r="C120" s="19" t="s">
        <v>98</v>
      </c>
      <c r="D120" s="20" t="n">
        <v>296.92</v>
      </c>
      <c r="E120" s="21" t="n">
        <v>0</v>
      </c>
      <c r="F120" s="20" t="n">
        <v>151.33</v>
      </c>
      <c r="G120" s="13" t="n">
        <v>39.82</v>
      </c>
      <c r="H120" s="13" t="n">
        <f aca="false">IF(D120="","",D120*(1-E120))</f>
        <v>296.92</v>
      </c>
      <c r="I120" s="12" t="n">
        <f aca="false">IF(OR(G120="",H120=""),"",G120/H120)</f>
        <v>0.13411019803314</v>
      </c>
      <c r="J120" s="13" t="n">
        <f aca="false">IF(OR(B120="",C120=""),"",INDEX(Ref_Frete!$B$2:$G$54,MATCH(C120,Ref_Frete!$A$2:$A$54,0),IF(B120="Pequenos",2,IF(B120="Medios",4,6))))</f>
        <v>39.9</v>
      </c>
      <c r="K120" s="13" t="n">
        <f aca="false">IF(OR(B120="",C120=""),"",INDEX(Ref_Frete!$B$2:$G$54,MATCH(C120,Ref_Frete!$A$2:$A$54,0),IF(B120="Pequenos",1,IF(B120="Medios",3,5))))</f>
        <v>49</v>
      </c>
      <c r="L120" s="13" t="n">
        <f aca="false">IF(OR(J120="",K120=""),"",J120-K120)</f>
        <v>-9.1</v>
      </c>
      <c r="M120" s="13" t="n">
        <f aca="false">IF(OR(H120="",F120="",G120=""),"",H120-G120-F120-H120*$B$3+IF(L120="",0,L120))</f>
        <v>66.978</v>
      </c>
      <c r="N120" s="12" t="n">
        <f aca="false">IF(OR(M120="",H120=0,H120=""),"",M120/H120)</f>
        <v>0.225575912703759</v>
      </c>
      <c r="O120" s="22" t="str">
        <f aca="false">IF(N120="","",IF(N120&lt;0,"PREJUÍZO",IF(N120&lt;0.1,"CRÍTICO (&lt;10%)",IF(N120&lt;0.15,"ABAIXO DA META (10-15%)",IF(N120&lt;=0.2,"DENTRO DA META (15-20%)","ACIMA DA META (&gt;20%)")))))</f>
        <v>ACIMA DA META (&gt;20%)</v>
      </c>
      <c r="P120" s="23"/>
    </row>
    <row r="121" customFormat="false" ht="15" hidden="true" customHeight="true" outlineLevel="0" collapsed="false">
      <c r="A121" s="19" t="s">
        <v>140</v>
      </c>
      <c r="B121" s="19" t="s">
        <v>130</v>
      </c>
      <c r="C121" s="19" t="s">
        <v>97</v>
      </c>
      <c r="D121" s="20" t="n">
        <v>330.79</v>
      </c>
      <c r="E121" s="21" t="n">
        <v>0</v>
      </c>
      <c r="F121" s="20" t="n">
        <v>172.54</v>
      </c>
      <c r="G121" s="13" t="n">
        <v>43.88</v>
      </c>
      <c r="H121" s="13" t="n">
        <f aca="false">IF(D121="","",D121*(1-E121))</f>
        <v>330.79</v>
      </c>
      <c r="I121" s="12" t="n">
        <f aca="false">IF(OR(G121="",H121=""),"",G121/H121)</f>
        <v>0.132652135796124</v>
      </c>
      <c r="J121" s="13" t="n">
        <f aca="false">IF(OR(B121="",C121=""),"",INDEX(Ref_Frete!$B$2:$G$54,MATCH(C121,Ref_Frete!$A$2:$A$54,0),IF(B121="Pequenos",2,IF(B121="Medios",4,6))))</f>
        <v>59.9</v>
      </c>
      <c r="K121" s="13" t="n">
        <f aca="false">IF(OR(B121="",C121=""),"",INDEX(Ref_Frete!$B$2:$G$54,MATCH(C121,Ref_Frete!$A$2:$A$54,0),IF(B121="Pequenos",1,IF(B121="Medios",3,5))))</f>
        <v>89</v>
      </c>
      <c r="L121" s="13" t="n">
        <f aca="false">IF(OR(J121="",K121=""),"",J121-K121)</f>
        <v>-29.1</v>
      </c>
      <c r="M121" s="13" t="n">
        <f aca="false">IF(OR(H121="",F121="",G121=""),"",H121-G121-F121-H121*$B$3+IF(L121="",0,L121))</f>
        <v>52.191</v>
      </c>
      <c r="N121" s="12" t="n">
        <f aca="false">IF(OR(M121="",H121=0,H121=""),"",M121/H121)</f>
        <v>0.157776837268358</v>
      </c>
      <c r="O121" s="22" t="str">
        <f aca="false">IF(N121="","",IF(N121&lt;0,"PREJUÍZO",IF(N121&lt;0.1,"CRÍTICO (&lt;10%)",IF(N121&lt;0.15,"ABAIXO DA META (10-15%)",IF(N121&lt;=0.2,"DENTRO DA META (15-20%)","ACIMA DA META (&gt;20%)")))))</f>
        <v>DENTRO DA META (15-20%)</v>
      </c>
      <c r="P121" s="23"/>
    </row>
    <row r="122" customFormat="false" ht="15" hidden="false" customHeight="true" outlineLevel="0" collapsed="false">
      <c r="A122" s="19" t="s">
        <v>140</v>
      </c>
      <c r="B122" s="19" t="s">
        <v>130</v>
      </c>
      <c r="C122" s="19" t="s">
        <v>98</v>
      </c>
      <c r="D122" s="20" t="n">
        <v>330.79</v>
      </c>
      <c r="E122" s="21" t="n">
        <v>0</v>
      </c>
      <c r="F122" s="20" t="n">
        <v>172.54</v>
      </c>
      <c r="G122" s="13" t="n">
        <v>43.88</v>
      </c>
      <c r="H122" s="13" t="n">
        <f aca="false">IF(D122="","",D122*(1-E122))</f>
        <v>330.79</v>
      </c>
      <c r="I122" s="12" t="n">
        <f aca="false">IF(OR(G122="",H122=""),"",G122/H122)</f>
        <v>0.132652135796124</v>
      </c>
      <c r="J122" s="13" t="n">
        <f aca="false">IF(OR(B122="",C122=""),"",INDEX(Ref_Frete!$B$2:$G$54,MATCH(C122,Ref_Frete!$A$2:$A$54,0),IF(B122="Pequenos",2,IF(B122="Medios",4,6))))</f>
        <v>39.9</v>
      </c>
      <c r="K122" s="13" t="n">
        <f aca="false">IF(OR(B122="",C122=""),"",INDEX(Ref_Frete!$B$2:$G$54,MATCH(C122,Ref_Frete!$A$2:$A$54,0),IF(B122="Pequenos",1,IF(B122="Medios",3,5))))</f>
        <v>49</v>
      </c>
      <c r="L122" s="13" t="n">
        <f aca="false">IF(OR(J122="",K122=""),"",J122-K122)</f>
        <v>-9.1</v>
      </c>
      <c r="M122" s="13" t="n">
        <f aca="false">IF(OR(H122="",F122="",G122=""),"",H122-G122-F122-H122*$B$3+IF(L122="",0,L122))</f>
        <v>72.191</v>
      </c>
      <c r="N122" s="12" t="n">
        <f aca="false">IF(OR(M122="",H122=0,H122=""),"",M122/H122)</f>
        <v>0.21823815713897</v>
      </c>
      <c r="O122" s="22" t="str">
        <f aca="false">IF(N122="","",IF(N122&lt;0,"PREJUÍZO",IF(N122&lt;0.1,"CRÍTICO (&lt;10%)",IF(N122&lt;0.15,"ABAIXO DA META (10-15%)",IF(N122&lt;=0.2,"DENTRO DA META (15-20%)","ACIMA DA META (&gt;20%)")))))</f>
        <v>ACIMA DA META (&gt;20%)</v>
      </c>
      <c r="P122" s="23"/>
    </row>
    <row r="123" customFormat="false" ht="15" hidden="true" customHeight="true" outlineLevel="0" collapsed="false">
      <c r="A123" s="19" t="s">
        <v>141</v>
      </c>
      <c r="B123" s="19" t="s">
        <v>130</v>
      </c>
      <c r="C123" s="19" t="s">
        <v>97</v>
      </c>
      <c r="D123" s="20" t="n">
        <v>369.74</v>
      </c>
      <c r="E123" s="21" t="n">
        <v>0</v>
      </c>
      <c r="F123" s="20" t="n">
        <v>189.66</v>
      </c>
      <c r="G123" s="13" t="n">
        <v>48.56</v>
      </c>
      <c r="H123" s="13" t="n">
        <f aca="false">IF(D123="","",D123*(1-E123))</f>
        <v>369.74</v>
      </c>
      <c r="I123" s="12" t="n">
        <f aca="false">IF(OR(G123="",H123=""),"",G123/H123)</f>
        <v>0.131335533077298</v>
      </c>
      <c r="J123" s="13" t="n">
        <f aca="false">IF(OR(B123="",C123=""),"",INDEX(Ref_Frete!$B$2:$G$54,MATCH(C123,Ref_Frete!$A$2:$A$54,0),IF(B123="Pequenos",2,IF(B123="Medios",4,6))))</f>
        <v>59.9</v>
      </c>
      <c r="K123" s="13" t="n">
        <f aca="false">IF(OR(B123="",C123=""),"",INDEX(Ref_Frete!$B$2:$G$54,MATCH(C123,Ref_Frete!$A$2:$A$54,0),IF(B123="Pequenos",1,IF(B123="Medios",3,5))))</f>
        <v>89</v>
      </c>
      <c r="L123" s="13" t="n">
        <f aca="false">IF(OR(J123="",K123=""),"",J123-K123)</f>
        <v>-29.1</v>
      </c>
      <c r="M123" s="13" t="n">
        <f aca="false">IF(OR(H123="",F123="",G123=""),"",H123-G123-F123-H123*$B$3+IF(L123="",0,L123))</f>
        <v>65.446</v>
      </c>
      <c r="N123" s="12" t="n">
        <f aca="false">IF(OR(M123="",H123=0,H123=""),"",M123/H123)</f>
        <v>0.177005463298534</v>
      </c>
      <c r="O123" s="22" t="str">
        <f aca="false">IF(N123="","",IF(N123&lt;0,"PREJUÍZO",IF(N123&lt;0.1,"CRÍTICO (&lt;10%)",IF(N123&lt;0.15,"ABAIXO DA META (10-15%)",IF(N123&lt;=0.2,"DENTRO DA META (15-20%)","ACIMA DA META (&gt;20%)")))))</f>
        <v>DENTRO DA META (15-20%)</v>
      </c>
      <c r="P123" s="23"/>
    </row>
    <row r="124" customFormat="false" ht="15" hidden="false" customHeight="true" outlineLevel="0" collapsed="false">
      <c r="A124" s="19" t="s">
        <v>141</v>
      </c>
      <c r="B124" s="19" t="s">
        <v>130</v>
      </c>
      <c r="C124" s="19" t="s">
        <v>98</v>
      </c>
      <c r="D124" s="20" t="n">
        <v>369.74</v>
      </c>
      <c r="E124" s="21" t="n">
        <v>0</v>
      </c>
      <c r="F124" s="20" t="n">
        <v>189.66</v>
      </c>
      <c r="G124" s="13" t="n">
        <v>48.56</v>
      </c>
      <c r="H124" s="13" t="n">
        <f aca="false">IF(D124="","",D124*(1-E124))</f>
        <v>369.74</v>
      </c>
      <c r="I124" s="12" t="n">
        <f aca="false">IF(OR(G124="",H124=""),"",G124/H124)</f>
        <v>0.131335533077298</v>
      </c>
      <c r="J124" s="13" t="n">
        <f aca="false">IF(OR(B124="",C124=""),"",INDEX(Ref_Frete!$B$2:$G$54,MATCH(C124,Ref_Frete!$A$2:$A$54,0),IF(B124="Pequenos",2,IF(B124="Medios",4,6))))</f>
        <v>39.9</v>
      </c>
      <c r="K124" s="13" t="n">
        <f aca="false">IF(OR(B124="",C124=""),"",INDEX(Ref_Frete!$B$2:$G$54,MATCH(C124,Ref_Frete!$A$2:$A$54,0),IF(B124="Pequenos",1,IF(B124="Medios",3,5))))</f>
        <v>49</v>
      </c>
      <c r="L124" s="13" t="n">
        <f aca="false">IF(OR(J124="",K124=""),"",J124-K124)</f>
        <v>-9.1</v>
      </c>
      <c r="M124" s="13" t="n">
        <f aca="false">IF(OR(H124="",F124="",G124=""),"",H124-G124-F124-H124*$B$3+IF(L124="",0,L124))</f>
        <v>85.446</v>
      </c>
      <c r="N124" s="12" t="n">
        <f aca="false">IF(OR(M124="",H124=0,H124=""),"",M124/H124)</f>
        <v>0.231097527992643</v>
      </c>
      <c r="O124" s="22" t="str">
        <f aca="false">IF(N124="","",IF(N124&lt;0,"PREJUÍZO",IF(N124&lt;0.1,"CRÍTICO (&lt;10%)",IF(N124&lt;0.15,"ABAIXO DA META (10-15%)",IF(N124&lt;=0.2,"DENTRO DA META (15-20%)","ACIMA DA META (&gt;20%)")))))</f>
        <v>ACIMA DA META (&gt;20%)</v>
      </c>
      <c r="P124" s="23"/>
    </row>
    <row r="125" customFormat="false" ht="15" hidden="true" customHeight="true" outlineLevel="0" collapsed="false">
      <c r="A125" s="19" t="s">
        <v>142</v>
      </c>
      <c r="B125" s="19" t="s">
        <v>130</v>
      </c>
      <c r="C125" s="19" t="s">
        <v>97</v>
      </c>
      <c r="D125" s="20" t="n">
        <v>413.32</v>
      </c>
      <c r="E125" s="21" t="n">
        <v>0</v>
      </c>
      <c r="F125" s="20" t="n">
        <v>216.99</v>
      </c>
      <c r="G125" s="13" t="n">
        <v>53.79</v>
      </c>
      <c r="H125" s="13" t="n">
        <f aca="false">IF(D125="","",D125*(1-E125))</f>
        <v>413.32</v>
      </c>
      <c r="I125" s="12" t="n">
        <f aca="false">IF(OR(G125="",H125=""),"",G125/H125)</f>
        <v>0.13014129488048</v>
      </c>
      <c r="J125" s="13" t="n">
        <f aca="false">IF(OR(B125="",C125=""),"",INDEX(Ref_Frete!$B$2:$G$54,MATCH(C125,Ref_Frete!$A$2:$A$54,0),IF(B125="Pequenos",2,IF(B125="Medios",4,6))))</f>
        <v>59.9</v>
      </c>
      <c r="K125" s="13" t="n">
        <f aca="false">IF(OR(B125="",C125=""),"",INDEX(Ref_Frete!$B$2:$G$54,MATCH(C125,Ref_Frete!$A$2:$A$54,0),IF(B125="Pequenos",1,IF(B125="Medios",3,5))))</f>
        <v>89</v>
      </c>
      <c r="L125" s="13" t="n">
        <f aca="false">IF(OR(J125="",K125=""),"",J125-K125)</f>
        <v>-29.1</v>
      </c>
      <c r="M125" s="13" t="n">
        <f aca="false">IF(OR(H125="",F125="",G125=""),"",H125-G125-F125-H125*$B$3+IF(L125="",0,L125))</f>
        <v>72.108</v>
      </c>
      <c r="N125" s="12" t="n">
        <f aca="false">IF(OR(M125="",H125=0,H125=""),"",M125/H125)</f>
        <v>0.17446046646666</v>
      </c>
      <c r="O125" s="22" t="str">
        <f aca="false">IF(N125="","",IF(N125&lt;0,"PREJUÍZO",IF(N125&lt;0.1,"CRÍTICO (&lt;10%)",IF(N125&lt;0.15,"ABAIXO DA META (10-15%)",IF(N125&lt;=0.2,"DENTRO DA META (15-20%)","ACIMA DA META (&gt;20%)")))))</f>
        <v>DENTRO DA META (15-20%)</v>
      </c>
      <c r="P125" s="23"/>
    </row>
    <row r="126" customFormat="false" ht="15" hidden="false" customHeight="true" outlineLevel="0" collapsed="false">
      <c r="A126" s="19" t="s">
        <v>142</v>
      </c>
      <c r="B126" s="19" t="s">
        <v>130</v>
      </c>
      <c r="C126" s="19" t="s">
        <v>98</v>
      </c>
      <c r="D126" s="20" t="n">
        <v>413.32</v>
      </c>
      <c r="E126" s="21" t="n">
        <v>0</v>
      </c>
      <c r="F126" s="20" t="n">
        <v>216.99</v>
      </c>
      <c r="G126" s="13" t="n">
        <v>53.79</v>
      </c>
      <c r="H126" s="13" t="n">
        <f aca="false">IF(D126="","",D126*(1-E126))</f>
        <v>413.32</v>
      </c>
      <c r="I126" s="12" t="n">
        <f aca="false">IF(OR(G126="",H126=""),"",G126/H126)</f>
        <v>0.13014129488048</v>
      </c>
      <c r="J126" s="13" t="n">
        <f aca="false">IF(OR(B126="",C126=""),"",INDEX(Ref_Frete!$B$2:$G$54,MATCH(C126,Ref_Frete!$A$2:$A$54,0),IF(B126="Pequenos",2,IF(B126="Medios",4,6))))</f>
        <v>39.9</v>
      </c>
      <c r="K126" s="13" t="n">
        <f aca="false">IF(OR(B126="",C126=""),"",INDEX(Ref_Frete!$B$2:$G$54,MATCH(C126,Ref_Frete!$A$2:$A$54,0),IF(B126="Pequenos",1,IF(B126="Medios",3,5))))</f>
        <v>49</v>
      </c>
      <c r="L126" s="13" t="n">
        <f aca="false">IF(OR(J126="",K126=""),"",J126-K126)</f>
        <v>-9.1</v>
      </c>
      <c r="M126" s="13" t="n">
        <f aca="false">IF(OR(H126="",F126="",G126=""),"",H126-G126-F126-H126*$B$3+IF(L126="",0,L126))</f>
        <v>92.108</v>
      </c>
      <c r="N126" s="12" t="n">
        <f aca="false">IF(OR(M126="",H126=0,H126=""),"",M126/H126)</f>
        <v>0.222849124165296</v>
      </c>
      <c r="O126" s="22" t="str">
        <f aca="false">IF(N126="","",IF(N126&lt;0,"PREJUÍZO",IF(N126&lt;0.1,"CRÍTICO (&lt;10%)",IF(N126&lt;0.15,"ABAIXO DA META (10-15%)",IF(N126&lt;=0.2,"DENTRO DA META (15-20%)","ACIMA DA META (&gt;20%)")))))</f>
        <v>ACIMA DA META (&gt;20%)</v>
      </c>
      <c r="P126" s="23"/>
    </row>
    <row r="127" customFormat="false" ht="15" hidden="true" customHeight="true" outlineLevel="0" collapsed="false">
      <c r="A127" s="19" t="s">
        <v>143</v>
      </c>
      <c r="B127" s="19" t="s">
        <v>130</v>
      </c>
      <c r="C127" s="19" t="s">
        <v>97</v>
      </c>
      <c r="D127" s="20" t="n">
        <v>396.88</v>
      </c>
      <c r="E127" s="21" t="n">
        <v>0</v>
      </c>
      <c r="F127" s="20" t="n">
        <v>205.57</v>
      </c>
      <c r="G127" s="13" t="n">
        <v>51.81</v>
      </c>
      <c r="H127" s="13" t="n">
        <f aca="false">IF(D127="","",D127*(1-E127))</f>
        <v>396.88</v>
      </c>
      <c r="I127" s="12" t="n">
        <f aca="false">IF(OR(G127="",H127=""),"",G127/H127)</f>
        <v>0.130543237250554</v>
      </c>
      <c r="J127" s="13" t="n">
        <f aca="false">IF(OR(B127="",C127=""),"",INDEX(Ref_Frete!$B$2:$G$54,MATCH(C127,Ref_Frete!$A$2:$A$54,0),IF(B127="Pequenos",2,IF(B127="Medios",4,6))))</f>
        <v>59.9</v>
      </c>
      <c r="K127" s="13" t="n">
        <f aca="false">IF(OR(B127="",C127=""),"",INDEX(Ref_Frete!$B$2:$G$54,MATCH(C127,Ref_Frete!$A$2:$A$54,0),IF(B127="Pequenos",1,IF(B127="Medios",3,5))))</f>
        <v>89</v>
      </c>
      <c r="L127" s="13" t="n">
        <f aca="false">IF(OR(J127="",K127=""),"",J127-K127)</f>
        <v>-29.1</v>
      </c>
      <c r="M127" s="13" t="n">
        <f aca="false">IF(OR(H127="",F127="",G127=""),"",H127-G127-F127-H127*$B$3+IF(L127="",0,L127))</f>
        <v>70.712</v>
      </c>
      <c r="N127" s="12" t="n">
        <f aca="false">IF(OR(M127="",H127=0,H127=""),"",M127/H127)</f>
        <v>0.178169723845999</v>
      </c>
      <c r="O127" s="22" t="str">
        <f aca="false">IF(N127="","",IF(N127&lt;0,"PREJUÍZO",IF(N127&lt;0.1,"CRÍTICO (&lt;10%)",IF(N127&lt;0.15,"ABAIXO DA META (10-15%)",IF(N127&lt;=0.2,"DENTRO DA META (15-20%)","ACIMA DA META (&gt;20%)")))))</f>
        <v>DENTRO DA META (15-20%)</v>
      </c>
      <c r="P127" s="23"/>
    </row>
    <row r="128" customFormat="false" ht="15" hidden="false" customHeight="true" outlineLevel="0" collapsed="false">
      <c r="A128" s="19" t="s">
        <v>143</v>
      </c>
      <c r="B128" s="19" t="s">
        <v>130</v>
      </c>
      <c r="C128" s="19" t="s">
        <v>98</v>
      </c>
      <c r="D128" s="20" t="n">
        <v>396.88</v>
      </c>
      <c r="E128" s="21" t="n">
        <v>0</v>
      </c>
      <c r="F128" s="20" t="n">
        <v>205.57</v>
      </c>
      <c r="G128" s="13" t="n">
        <v>51.81</v>
      </c>
      <c r="H128" s="13" t="n">
        <f aca="false">IF(D128="","",D128*(1-E128))</f>
        <v>396.88</v>
      </c>
      <c r="I128" s="12" t="n">
        <f aca="false">IF(OR(G128="",H128=""),"",G128/H128)</f>
        <v>0.130543237250554</v>
      </c>
      <c r="J128" s="13" t="n">
        <f aca="false">IF(OR(B128="",C128=""),"",INDEX(Ref_Frete!$B$2:$G$54,MATCH(C128,Ref_Frete!$A$2:$A$54,0),IF(B128="Pequenos",2,IF(B128="Medios",4,6))))</f>
        <v>39.9</v>
      </c>
      <c r="K128" s="13" t="n">
        <f aca="false">IF(OR(B128="",C128=""),"",INDEX(Ref_Frete!$B$2:$G$54,MATCH(C128,Ref_Frete!$A$2:$A$54,0),IF(B128="Pequenos",1,IF(B128="Medios",3,5))))</f>
        <v>49</v>
      </c>
      <c r="L128" s="13" t="n">
        <f aca="false">IF(OR(J128="",K128=""),"",J128-K128)</f>
        <v>-9.1</v>
      </c>
      <c r="M128" s="13" t="n">
        <f aca="false">IF(OR(H128="",F128="",G128=""),"",H128-G128-F128-H128*$B$3+IF(L128="",0,L128))</f>
        <v>90.712</v>
      </c>
      <c r="N128" s="12" t="n">
        <f aca="false">IF(OR(M128="",H128=0,H128=""),"",M128/H128)</f>
        <v>0.228562789760129</v>
      </c>
      <c r="O128" s="22" t="str">
        <f aca="false">IF(N128="","",IF(N128&lt;0,"PREJUÍZO",IF(N128&lt;0.1,"CRÍTICO (&lt;10%)",IF(N128&lt;0.15,"ABAIXO DA META (10-15%)",IF(N128&lt;=0.2,"DENTRO DA META (15-20%)","ACIMA DA META (&gt;20%)")))))</f>
        <v>ACIMA DA META (&gt;20%)</v>
      </c>
      <c r="P128" s="23"/>
    </row>
    <row r="129" customFormat="false" ht="15" hidden="true" customHeight="true" outlineLevel="0" collapsed="false">
      <c r="A129" s="19" t="s">
        <v>144</v>
      </c>
      <c r="B129" s="19" t="s">
        <v>130</v>
      </c>
      <c r="C129" s="19" t="s">
        <v>97</v>
      </c>
      <c r="D129" s="20" t="n">
        <v>446.71</v>
      </c>
      <c r="E129" s="21" t="n">
        <v>0</v>
      </c>
      <c r="F129" s="20" t="n">
        <v>235.28</v>
      </c>
      <c r="G129" s="13" t="n">
        <v>57.79</v>
      </c>
      <c r="H129" s="13" t="n">
        <f aca="false">IF(D129="","",D129*(1-E129))</f>
        <v>446.71</v>
      </c>
      <c r="I129" s="12" t="n">
        <f aca="false">IF(OR(G129="",H129=""),"",G129/H129)</f>
        <v>0.12936804638356</v>
      </c>
      <c r="J129" s="13" t="n">
        <f aca="false">IF(OR(B129="",C129=""),"",INDEX(Ref_Frete!$B$2:$G$54,MATCH(C129,Ref_Frete!$A$2:$A$54,0),IF(B129="Pequenos",2,IF(B129="Medios",4,6))))</f>
        <v>59.9</v>
      </c>
      <c r="K129" s="13" t="n">
        <f aca="false">IF(OR(B129="",C129=""),"",INDEX(Ref_Frete!$B$2:$G$54,MATCH(C129,Ref_Frete!$A$2:$A$54,0),IF(B129="Pequenos",1,IF(B129="Medios",3,5))))</f>
        <v>89</v>
      </c>
      <c r="L129" s="13" t="n">
        <f aca="false">IF(OR(J129="",K129=""),"",J129-K129)</f>
        <v>-29.1</v>
      </c>
      <c r="M129" s="13" t="n">
        <f aca="false">IF(OR(H129="",F129="",G129=""),"",H129-G129-F129-H129*$B$3+IF(L129="",0,L129))</f>
        <v>79.869</v>
      </c>
      <c r="N129" s="12" t="n">
        <f aca="false">IF(OR(M129="",H129=0,H129=""),"",M129/H129)</f>
        <v>0.178793848357995</v>
      </c>
      <c r="O129" s="22" t="str">
        <f aca="false">IF(N129="","",IF(N129&lt;0,"PREJUÍZO",IF(N129&lt;0.1,"CRÍTICO (&lt;10%)",IF(N129&lt;0.15,"ABAIXO DA META (10-15%)",IF(N129&lt;=0.2,"DENTRO DA META (15-20%)","ACIMA DA META (&gt;20%)")))))</f>
        <v>DENTRO DA META (15-20%)</v>
      </c>
      <c r="P129" s="23"/>
    </row>
    <row r="130" customFormat="false" ht="15" hidden="false" customHeight="true" outlineLevel="0" collapsed="false">
      <c r="A130" s="19" t="s">
        <v>144</v>
      </c>
      <c r="B130" s="19" t="s">
        <v>130</v>
      </c>
      <c r="C130" s="19" t="s">
        <v>98</v>
      </c>
      <c r="D130" s="20" t="n">
        <v>446.71</v>
      </c>
      <c r="E130" s="21" t="n">
        <v>0</v>
      </c>
      <c r="F130" s="20" t="n">
        <v>235.28</v>
      </c>
      <c r="G130" s="13" t="n">
        <v>57.79</v>
      </c>
      <c r="H130" s="13" t="n">
        <f aca="false">IF(D130="","",D130*(1-E130))</f>
        <v>446.71</v>
      </c>
      <c r="I130" s="12" t="n">
        <f aca="false">IF(OR(G130="",H130=""),"",G130/H130)</f>
        <v>0.12936804638356</v>
      </c>
      <c r="J130" s="13" t="n">
        <f aca="false">IF(OR(B130="",C130=""),"",INDEX(Ref_Frete!$B$2:$G$54,MATCH(C130,Ref_Frete!$A$2:$A$54,0),IF(B130="Pequenos",2,IF(B130="Medios",4,6))))</f>
        <v>39.9</v>
      </c>
      <c r="K130" s="13" t="n">
        <f aca="false">IF(OR(B130="",C130=""),"",INDEX(Ref_Frete!$B$2:$G$54,MATCH(C130,Ref_Frete!$A$2:$A$54,0),IF(B130="Pequenos",1,IF(B130="Medios",3,5))))</f>
        <v>49</v>
      </c>
      <c r="L130" s="13" t="n">
        <f aca="false">IF(OR(J130="",K130=""),"",J130-K130)</f>
        <v>-9.1</v>
      </c>
      <c r="M130" s="13" t="n">
        <f aca="false">IF(OR(H130="",F130="",G130=""),"",H130-G130-F130-H130*$B$3+IF(L130="",0,L130))</f>
        <v>99.869</v>
      </c>
      <c r="N130" s="12" t="n">
        <f aca="false">IF(OR(M130="",H130=0,H130=""),"",M130/H130)</f>
        <v>0.223565624230485</v>
      </c>
      <c r="O130" s="22" t="str">
        <f aca="false">IF(N130="","",IF(N130&lt;0,"PREJUÍZO",IF(N130&lt;0.1,"CRÍTICO (&lt;10%)",IF(N130&lt;0.15,"ABAIXO DA META (10-15%)",IF(N130&lt;=0.2,"DENTRO DA META (15-20%)","ACIMA DA META (&gt;20%)")))))</f>
        <v>ACIMA DA META (&gt;20%)</v>
      </c>
      <c r="P130" s="23"/>
    </row>
    <row r="131" customFormat="false" ht="15" hidden="true" customHeight="true" outlineLevel="0" collapsed="false">
      <c r="A131" s="19" t="s">
        <v>145</v>
      </c>
      <c r="B131" s="19" t="s">
        <v>130</v>
      </c>
      <c r="C131" s="19" t="s">
        <v>97</v>
      </c>
      <c r="D131" s="20" t="n">
        <v>439.24</v>
      </c>
      <c r="E131" s="21" t="n">
        <v>0</v>
      </c>
      <c r="F131" s="20" t="n">
        <v>222.41</v>
      </c>
      <c r="G131" s="13" t="n">
        <v>56.9</v>
      </c>
      <c r="H131" s="13" t="n">
        <f aca="false">IF(D131="","",D131*(1-E131))</f>
        <v>439.24</v>
      </c>
      <c r="I131" s="12" t="n">
        <f aca="false">IF(OR(G131="",H131=""),"",G131/H131)</f>
        <v>0.129541936071396</v>
      </c>
      <c r="J131" s="13" t="n">
        <f aca="false">IF(OR(B131="",C131=""),"",INDEX(Ref_Frete!$B$2:$G$54,MATCH(C131,Ref_Frete!$A$2:$A$54,0),IF(B131="Pequenos",2,IF(B131="Medios",4,6))))</f>
        <v>59.9</v>
      </c>
      <c r="K131" s="13" t="n">
        <f aca="false">IF(OR(B131="",C131=""),"",INDEX(Ref_Frete!$B$2:$G$54,MATCH(C131,Ref_Frete!$A$2:$A$54,0),IF(B131="Pequenos",1,IF(B131="Medios",3,5))))</f>
        <v>89</v>
      </c>
      <c r="L131" s="13" t="n">
        <f aca="false">IF(OR(J131="",K131=""),"",J131-K131)</f>
        <v>-29.1</v>
      </c>
      <c r="M131" s="13" t="n">
        <f aca="false">IF(OR(H131="",F131="",G131=""),"",H131-G131-F131-H131*$B$3+IF(L131="",0,L131))</f>
        <v>86.906</v>
      </c>
      <c r="N131" s="12" t="n">
        <f aca="false">IF(OR(M131="",H131=0,H131=""),"",M131/H131)</f>
        <v>0.197855386576815</v>
      </c>
      <c r="O131" s="22" t="str">
        <f aca="false">IF(N131="","",IF(N131&lt;0,"PREJUÍZO",IF(N131&lt;0.1,"CRÍTICO (&lt;10%)",IF(N131&lt;0.15,"ABAIXO DA META (10-15%)",IF(N131&lt;=0.2,"DENTRO DA META (15-20%)","ACIMA DA META (&gt;20%)")))))</f>
        <v>DENTRO DA META (15-20%)</v>
      </c>
      <c r="P131" s="23"/>
    </row>
    <row r="132" customFormat="false" ht="15" hidden="false" customHeight="true" outlineLevel="0" collapsed="false">
      <c r="A132" s="19" t="s">
        <v>145</v>
      </c>
      <c r="B132" s="19" t="s">
        <v>130</v>
      </c>
      <c r="C132" s="19" t="s">
        <v>98</v>
      </c>
      <c r="D132" s="20" t="n">
        <v>439.24</v>
      </c>
      <c r="E132" s="21" t="n">
        <v>0</v>
      </c>
      <c r="F132" s="20" t="n">
        <v>222.41</v>
      </c>
      <c r="G132" s="13" t="n">
        <v>56.9</v>
      </c>
      <c r="H132" s="13" t="n">
        <f aca="false">IF(D132="","",D132*(1-E132))</f>
        <v>439.24</v>
      </c>
      <c r="I132" s="12" t="n">
        <f aca="false">IF(OR(G132="",H132=""),"",G132/H132)</f>
        <v>0.129541936071396</v>
      </c>
      <c r="J132" s="13" t="n">
        <f aca="false">IF(OR(B132="",C132=""),"",INDEX(Ref_Frete!$B$2:$G$54,MATCH(C132,Ref_Frete!$A$2:$A$54,0),IF(B132="Pequenos",2,IF(B132="Medios",4,6))))</f>
        <v>39.9</v>
      </c>
      <c r="K132" s="13" t="n">
        <f aca="false">IF(OR(B132="",C132=""),"",INDEX(Ref_Frete!$B$2:$G$54,MATCH(C132,Ref_Frete!$A$2:$A$54,0),IF(B132="Pequenos",1,IF(B132="Medios",3,5))))</f>
        <v>49</v>
      </c>
      <c r="L132" s="13" t="n">
        <f aca="false">IF(OR(J132="",K132=""),"",J132-K132)</f>
        <v>-9.1</v>
      </c>
      <c r="M132" s="13" t="n">
        <f aca="false">IF(OR(H132="",F132="",G132=""),"",H132-G132-F132-H132*$B$3+IF(L132="",0,L132))</f>
        <v>106.906</v>
      </c>
      <c r="N132" s="12" t="n">
        <f aca="false">IF(OR(M132="",H132=0,H132=""),"",M132/H132)</f>
        <v>0.243388580275021</v>
      </c>
      <c r="O132" s="22" t="str">
        <f aca="false">IF(N132="","",IF(N132&lt;0,"PREJUÍZO",IF(N132&lt;0.1,"CRÍTICO (&lt;10%)",IF(N132&lt;0.15,"ABAIXO DA META (10-15%)",IF(N132&lt;=0.2,"DENTRO DA META (15-20%)","ACIMA DA META (&gt;20%)")))))</f>
        <v>ACIMA DA META (&gt;20%)</v>
      </c>
      <c r="P132" s="23"/>
    </row>
    <row r="133" customFormat="false" ht="15" hidden="true" customHeight="true" outlineLevel="0" collapsed="false">
      <c r="A133" s="19" t="s">
        <v>146</v>
      </c>
      <c r="B133" s="19" t="s">
        <v>130</v>
      </c>
      <c r="C133" s="19" t="s">
        <v>97</v>
      </c>
      <c r="D133" s="20" t="n">
        <v>507.78</v>
      </c>
      <c r="E133" s="21" t="n">
        <v>0</v>
      </c>
      <c r="F133" s="20" t="n">
        <v>258.22</v>
      </c>
      <c r="G133" s="13" t="n">
        <v>65.12</v>
      </c>
      <c r="H133" s="13" t="n">
        <f aca="false">IF(D133="","",D133*(1-E133))</f>
        <v>507.78</v>
      </c>
      <c r="I133" s="12" t="n">
        <f aca="false">IF(OR(G133="",H133=""),"",G133/H133)</f>
        <v>0.12824451534129</v>
      </c>
      <c r="J133" s="13" t="n">
        <f aca="false">IF(OR(B133="",C133=""),"",INDEX(Ref_Frete!$B$2:$G$54,MATCH(C133,Ref_Frete!$A$2:$A$54,0),IF(B133="Pequenos",2,IF(B133="Medios",4,6))))</f>
        <v>59.9</v>
      </c>
      <c r="K133" s="13" t="n">
        <f aca="false">IF(OR(B133="",C133=""),"",INDEX(Ref_Frete!$B$2:$G$54,MATCH(C133,Ref_Frete!$A$2:$A$54,0),IF(B133="Pequenos",1,IF(B133="Medios",3,5))))</f>
        <v>89</v>
      </c>
      <c r="L133" s="13" t="n">
        <f aca="false">IF(OR(J133="",K133=""),"",J133-K133)</f>
        <v>-29.1</v>
      </c>
      <c r="M133" s="13" t="n">
        <f aca="false">IF(OR(H133="",F133="",G133=""),"",H133-G133-F133-H133*$B$3+IF(L133="",0,L133))</f>
        <v>104.562</v>
      </c>
      <c r="N133" s="12" t="n">
        <f aca="false">IF(OR(M133="",H133=0,H133=""),"",M133/H133)</f>
        <v>0.205919886565048</v>
      </c>
      <c r="O133" s="22" t="str">
        <f aca="false">IF(N133="","",IF(N133&lt;0,"PREJUÍZO",IF(N133&lt;0.1,"CRÍTICO (&lt;10%)",IF(N133&lt;0.15,"ABAIXO DA META (10-15%)",IF(N133&lt;=0.2,"DENTRO DA META (15-20%)","ACIMA DA META (&gt;20%)")))))</f>
        <v>ACIMA DA META (&gt;20%)</v>
      </c>
      <c r="P133" s="23"/>
    </row>
    <row r="134" customFormat="false" ht="15" hidden="false" customHeight="true" outlineLevel="0" collapsed="false">
      <c r="A134" s="19" t="s">
        <v>146</v>
      </c>
      <c r="B134" s="19" t="s">
        <v>130</v>
      </c>
      <c r="C134" s="19" t="s">
        <v>98</v>
      </c>
      <c r="D134" s="20" t="n">
        <v>507.78</v>
      </c>
      <c r="E134" s="21" t="n">
        <v>0</v>
      </c>
      <c r="F134" s="20" t="n">
        <v>258.22</v>
      </c>
      <c r="G134" s="13" t="n">
        <v>65.12</v>
      </c>
      <c r="H134" s="13" t="n">
        <f aca="false">IF(D134="","",D134*(1-E134))</f>
        <v>507.78</v>
      </c>
      <c r="I134" s="12" t="n">
        <f aca="false">IF(OR(G134="",H134=""),"",G134/H134)</f>
        <v>0.12824451534129</v>
      </c>
      <c r="J134" s="13" t="n">
        <f aca="false">IF(OR(B134="",C134=""),"",INDEX(Ref_Frete!$B$2:$G$54,MATCH(C134,Ref_Frete!$A$2:$A$54,0),IF(B134="Pequenos",2,IF(B134="Medios",4,6))))</f>
        <v>39.9</v>
      </c>
      <c r="K134" s="13" t="n">
        <f aca="false">IF(OR(B134="",C134=""),"",INDEX(Ref_Frete!$B$2:$G$54,MATCH(C134,Ref_Frete!$A$2:$A$54,0),IF(B134="Pequenos",1,IF(B134="Medios",3,5))))</f>
        <v>49</v>
      </c>
      <c r="L134" s="13" t="n">
        <f aca="false">IF(OR(J134="",K134=""),"",J134-K134)</f>
        <v>-9.1</v>
      </c>
      <c r="M134" s="13" t="n">
        <f aca="false">IF(OR(H134="",F134="",G134=""),"",H134-G134-F134-H134*$B$3+IF(L134="",0,L134))</f>
        <v>124.562</v>
      </c>
      <c r="N134" s="12" t="n">
        <f aca="false">IF(OR(M134="",H134=0,H134=""),"",M134/H134)</f>
        <v>0.245307022726378</v>
      </c>
      <c r="O134" s="22" t="str">
        <f aca="false">IF(N134="","",IF(N134&lt;0,"PREJUÍZO",IF(N134&lt;0.1,"CRÍTICO (&lt;10%)",IF(N134&lt;0.15,"ABAIXO DA META (10-15%)",IF(N134&lt;=0.2,"DENTRO DA META (15-20%)","ACIMA DA META (&gt;20%)")))))</f>
        <v>ACIMA DA META (&gt;20%)</v>
      </c>
      <c r="P134" s="23"/>
    </row>
    <row r="135" customFormat="false" ht="15" hidden="true" customHeight="true" outlineLevel="0" collapsed="false">
      <c r="A135" s="19" t="s">
        <v>147</v>
      </c>
      <c r="B135" s="19" t="s">
        <v>130</v>
      </c>
      <c r="C135" s="19" t="s">
        <v>97</v>
      </c>
      <c r="D135" s="20" t="n">
        <v>526.32</v>
      </c>
      <c r="E135" s="21" t="n">
        <v>0</v>
      </c>
      <c r="F135" s="20" t="n">
        <v>269.82</v>
      </c>
      <c r="G135" s="13" t="n">
        <v>67.35</v>
      </c>
      <c r="H135" s="13" t="n">
        <f aca="false">IF(D135="","",D135*(1-E135))</f>
        <v>526.32</v>
      </c>
      <c r="I135" s="12" t="n">
        <f aca="false">IF(OR(G135="",H135=""),"",G135/H135)</f>
        <v>0.12796397628819</v>
      </c>
      <c r="J135" s="13" t="n">
        <f aca="false">IF(OR(B135="",C135=""),"",INDEX(Ref_Frete!$B$2:$G$54,MATCH(C135,Ref_Frete!$A$2:$A$54,0),IF(B135="Pequenos",2,IF(B135="Medios",4,6))))</f>
        <v>59.9</v>
      </c>
      <c r="K135" s="13" t="n">
        <f aca="false">IF(OR(B135="",C135=""),"",INDEX(Ref_Frete!$B$2:$G$54,MATCH(C135,Ref_Frete!$A$2:$A$54,0),IF(B135="Pequenos",1,IF(B135="Medios",3,5))))</f>
        <v>89</v>
      </c>
      <c r="L135" s="13" t="n">
        <f aca="false">IF(OR(J135="",K135=""),"",J135-K135)</f>
        <v>-29.1</v>
      </c>
      <c r="M135" s="13" t="n">
        <f aca="false">IF(OR(H135="",F135="",G135=""),"",H135-G135-F135-H135*$B$3+IF(L135="",0,L135))</f>
        <v>107.418</v>
      </c>
      <c r="N135" s="12" t="n">
        <f aca="false">IF(OR(M135="",H135=0,H135=""),"",M135/H135)</f>
        <v>0.204092567259462</v>
      </c>
      <c r="O135" s="22" t="str">
        <f aca="false">IF(N135="","",IF(N135&lt;0,"PREJUÍZO",IF(N135&lt;0.1,"CRÍTICO (&lt;10%)",IF(N135&lt;0.15,"ABAIXO DA META (10-15%)",IF(N135&lt;=0.2,"DENTRO DA META (15-20%)","ACIMA DA META (&gt;20%)")))))</f>
        <v>ACIMA DA META (&gt;20%)</v>
      </c>
      <c r="P135" s="23"/>
    </row>
    <row r="136" customFormat="false" ht="15" hidden="false" customHeight="true" outlineLevel="0" collapsed="false">
      <c r="A136" s="19" t="s">
        <v>147</v>
      </c>
      <c r="B136" s="19" t="s">
        <v>130</v>
      </c>
      <c r="C136" s="19" t="s">
        <v>98</v>
      </c>
      <c r="D136" s="20" t="n">
        <v>526.32</v>
      </c>
      <c r="E136" s="21" t="n">
        <v>0</v>
      </c>
      <c r="F136" s="20" t="n">
        <v>269.82</v>
      </c>
      <c r="G136" s="13" t="n">
        <v>67.35</v>
      </c>
      <c r="H136" s="13" t="n">
        <f aca="false">IF(D136="","",D136*(1-E136))</f>
        <v>526.32</v>
      </c>
      <c r="I136" s="12" t="n">
        <f aca="false">IF(OR(G136="",H136=""),"",G136/H136)</f>
        <v>0.12796397628819</v>
      </c>
      <c r="J136" s="13" t="n">
        <f aca="false">IF(OR(B136="",C136=""),"",INDEX(Ref_Frete!$B$2:$G$54,MATCH(C136,Ref_Frete!$A$2:$A$54,0),IF(B136="Pequenos",2,IF(B136="Medios",4,6))))</f>
        <v>39.9</v>
      </c>
      <c r="K136" s="13" t="n">
        <f aca="false">IF(OR(B136="",C136=""),"",INDEX(Ref_Frete!$B$2:$G$54,MATCH(C136,Ref_Frete!$A$2:$A$54,0),IF(B136="Pequenos",1,IF(B136="Medios",3,5))))</f>
        <v>49</v>
      </c>
      <c r="L136" s="13" t="n">
        <f aca="false">IF(OR(J136="",K136=""),"",J136-K136)</f>
        <v>-9.1</v>
      </c>
      <c r="M136" s="13" t="n">
        <f aca="false">IF(OR(H136="",F136="",G136=""),"",H136-G136-F136-H136*$B$3+IF(L136="",0,L136))</f>
        <v>127.418</v>
      </c>
      <c r="N136" s="12" t="n">
        <f aca="false">IF(OR(M136="",H136=0,H136=""),"",M136/H136)</f>
        <v>0.242092263261894</v>
      </c>
      <c r="O136" s="22" t="str">
        <f aca="false">IF(N136="","",IF(N136&lt;0,"PREJUÍZO",IF(N136&lt;0.1,"CRÍTICO (&lt;10%)",IF(N136&lt;0.15,"ABAIXO DA META (10-15%)",IF(N136&lt;=0.2,"DENTRO DA META (15-20%)","ACIMA DA META (&gt;20%)")))))</f>
        <v>ACIMA DA META (&gt;20%)</v>
      </c>
      <c r="P136" s="23"/>
    </row>
    <row r="137" customFormat="false" ht="15" hidden="true" customHeight="true" outlineLevel="0" collapsed="false">
      <c r="A137" s="19" t="s">
        <v>148</v>
      </c>
      <c r="B137" s="19" t="s">
        <v>130</v>
      </c>
      <c r="C137" s="19" t="s">
        <v>97</v>
      </c>
      <c r="D137" s="20" t="n">
        <v>543.85</v>
      </c>
      <c r="E137" s="21" t="n">
        <v>0</v>
      </c>
      <c r="F137" s="20" t="n">
        <v>279.42</v>
      </c>
      <c r="G137" s="13" t="n">
        <v>69.45</v>
      </c>
      <c r="H137" s="13" t="n">
        <f aca="false">IF(D137="","",D137*(1-E137))</f>
        <v>543.85</v>
      </c>
      <c r="I137" s="12" t="n">
        <f aca="false">IF(OR(G137="",H137=""),"",G137/H137)</f>
        <v>0.127700652753517</v>
      </c>
      <c r="J137" s="13" t="n">
        <f aca="false">IF(OR(B137="",C137=""),"",INDEX(Ref_Frete!$B$2:$G$54,MATCH(C137,Ref_Frete!$A$2:$A$54,0),IF(B137="Pequenos",2,IF(B137="Medios",4,6))))</f>
        <v>59.9</v>
      </c>
      <c r="K137" s="13" t="n">
        <f aca="false">IF(OR(B137="",C137=""),"",INDEX(Ref_Frete!$B$2:$G$54,MATCH(C137,Ref_Frete!$A$2:$A$54,0),IF(B137="Pequenos",1,IF(B137="Medios",3,5))))</f>
        <v>89</v>
      </c>
      <c r="L137" s="13" t="n">
        <f aca="false">IF(OR(J137="",K137=""),"",J137-K137)</f>
        <v>-29.1</v>
      </c>
      <c r="M137" s="13" t="n">
        <f aca="false">IF(OR(H137="",F137="",G137=""),"",H137-G137-F137-H137*$B$3+IF(L137="",0,L137))</f>
        <v>111.495</v>
      </c>
      <c r="N137" s="12" t="n">
        <f aca="false">IF(OR(M137="",H137=0,H137=""),"",M137/H137)</f>
        <v>0.205010572768227</v>
      </c>
      <c r="O137" s="22" t="str">
        <f aca="false">IF(N137="","",IF(N137&lt;0,"PREJUÍZO",IF(N137&lt;0.1,"CRÍTICO (&lt;10%)",IF(N137&lt;0.15,"ABAIXO DA META (10-15%)",IF(N137&lt;=0.2,"DENTRO DA META (15-20%)","ACIMA DA META (&gt;20%)")))))</f>
        <v>ACIMA DA META (&gt;20%)</v>
      </c>
      <c r="P137" s="23"/>
    </row>
    <row r="138" customFormat="false" ht="15" hidden="false" customHeight="true" outlineLevel="0" collapsed="false">
      <c r="A138" s="19" t="s">
        <v>148</v>
      </c>
      <c r="B138" s="19" t="s">
        <v>130</v>
      </c>
      <c r="C138" s="19" t="s">
        <v>98</v>
      </c>
      <c r="D138" s="20" t="n">
        <v>543.85</v>
      </c>
      <c r="E138" s="21" t="n">
        <v>0</v>
      </c>
      <c r="F138" s="20" t="n">
        <v>279.42</v>
      </c>
      <c r="G138" s="13" t="n">
        <v>69.45</v>
      </c>
      <c r="H138" s="13" t="n">
        <f aca="false">IF(D138="","",D138*(1-E138))</f>
        <v>543.85</v>
      </c>
      <c r="I138" s="12" t="n">
        <f aca="false">IF(OR(G138="",H138=""),"",G138/H138)</f>
        <v>0.127700652753517</v>
      </c>
      <c r="J138" s="13" t="n">
        <f aca="false">IF(OR(B138="",C138=""),"",INDEX(Ref_Frete!$B$2:$G$54,MATCH(C138,Ref_Frete!$A$2:$A$54,0),IF(B138="Pequenos",2,IF(B138="Medios",4,6))))</f>
        <v>39.9</v>
      </c>
      <c r="K138" s="13" t="n">
        <f aca="false">IF(OR(B138="",C138=""),"",INDEX(Ref_Frete!$B$2:$G$54,MATCH(C138,Ref_Frete!$A$2:$A$54,0),IF(B138="Pequenos",1,IF(B138="Medios",3,5))))</f>
        <v>49</v>
      </c>
      <c r="L138" s="13" t="n">
        <f aca="false">IF(OR(J138="",K138=""),"",J138-K138)</f>
        <v>-9.1</v>
      </c>
      <c r="M138" s="13" t="n">
        <f aca="false">IF(OR(H138="",F138="",G138=""),"",H138-G138-F138-H138*$B$3+IF(L138="",0,L138))</f>
        <v>131.495</v>
      </c>
      <c r="N138" s="12" t="n">
        <f aca="false">IF(OR(M138="",H138=0,H138=""),"",M138/H138)</f>
        <v>0.241785418773559</v>
      </c>
      <c r="O138" s="22" t="str">
        <f aca="false">IF(N138="","",IF(N138&lt;0,"PREJUÍZO",IF(N138&lt;0.1,"CRÍTICO (&lt;10%)",IF(N138&lt;0.15,"ABAIXO DA META (10-15%)",IF(N138&lt;=0.2,"DENTRO DA META (15-20%)","ACIMA DA META (&gt;20%)")))))</f>
        <v>ACIMA DA META (&gt;20%)</v>
      </c>
      <c r="P138" s="23"/>
    </row>
    <row r="139" customFormat="false" ht="15" hidden="true" customHeight="true" outlineLevel="0" collapsed="false">
      <c r="A139" s="19" t="s">
        <v>149</v>
      </c>
      <c r="B139" s="19" t="s">
        <v>130</v>
      </c>
      <c r="C139" s="19" t="s">
        <v>97</v>
      </c>
      <c r="D139" s="20" t="n">
        <v>642.24</v>
      </c>
      <c r="E139" s="21" t="n">
        <v>0</v>
      </c>
      <c r="F139" s="20" t="n">
        <v>341.01</v>
      </c>
      <c r="G139" s="13" t="n">
        <v>81.26</v>
      </c>
      <c r="H139" s="13" t="n">
        <f aca="false">IF(D139="","",D139*(1-E139))</f>
        <v>642.24</v>
      </c>
      <c r="I139" s="12" t="n">
        <f aca="false">IF(OR(G139="",H139=""),"",G139/H139)</f>
        <v>0.126525909317389</v>
      </c>
      <c r="J139" s="13" t="n">
        <f aca="false">IF(OR(B139="",C139=""),"",INDEX(Ref_Frete!$B$2:$G$54,MATCH(C139,Ref_Frete!$A$2:$A$54,0),IF(B139="Pequenos",2,IF(B139="Medios",4,6))))</f>
        <v>59.9</v>
      </c>
      <c r="K139" s="13" t="n">
        <f aca="false">IF(OR(B139="",C139=""),"",INDEX(Ref_Frete!$B$2:$G$54,MATCH(C139,Ref_Frete!$A$2:$A$54,0),IF(B139="Pequenos",1,IF(B139="Medios",3,5))))</f>
        <v>89</v>
      </c>
      <c r="L139" s="13" t="n">
        <f aca="false">IF(OR(J139="",K139=""),"",J139-K139)</f>
        <v>-29.1</v>
      </c>
      <c r="M139" s="13" t="n">
        <f aca="false">IF(OR(H139="",F139="",G139=""),"",H139-G139-F139-H139*$B$3+IF(L139="",0,L139))</f>
        <v>126.646</v>
      </c>
      <c r="N139" s="12" t="n">
        <f aca="false">IF(OR(M139="",H139=0,H139=""),"",M139/H139)</f>
        <v>0.197194195316393</v>
      </c>
      <c r="O139" s="22" t="str">
        <f aca="false">IF(N139="","",IF(N139&lt;0,"PREJUÍZO",IF(N139&lt;0.1,"CRÍTICO (&lt;10%)",IF(N139&lt;0.15,"ABAIXO DA META (10-15%)",IF(N139&lt;=0.2,"DENTRO DA META (15-20%)","ACIMA DA META (&gt;20%)")))))</f>
        <v>DENTRO DA META (15-20%)</v>
      </c>
      <c r="P139" s="23"/>
    </row>
    <row r="140" customFormat="false" ht="15" hidden="false" customHeight="true" outlineLevel="0" collapsed="false">
      <c r="A140" s="19" t="s">
        <v>149</v>
      </c>
      <c r="B140" s="19" t="s">
        <v>130</v>
      </c>
      <c r="C140" s="19" t="s">
        <v>98</v>
      </c>
      <c r="D140" s="20" t="n">
        <v>642.24</v>
      </c>
      <c r="E140" s="21" t="n">
        <v>0</v>
      </c>
      <c r="F140" s="20" t="n">
        <v>341.01</v>
      </c>
      <c r="G140" s="13" t="n">
        <v>81.26</v>
      </c>
      <c r="H140" s="13" t="n">
        <f aca="false">IF(D140="","",D140*(1-E140))</f>
        <v>642.24</v>
      </c>
      <c r="I140" s="12" t="n">
        <f aca="false">IF(OR(G140="",H140=""),"",G140/H140)</f>
        <v>0.126525909317389</v>
      </c>
      <c r="J140" s="13" t="n">
        <f aca="false">IF(OR(B140="",C140=""),"",INDEX(Ref_Frete!$B$2:$G$54,MATCH(C140,Ref_Frete!$A$2:$A$54,0),IF(B140="Pequenos",2,IF(B140="Medios",4,6))))</f>
        <v>39.9</v>
      </c>
      <c r="K140" s="13" t="n">
        <f aca="false">IF(OR(B140="",C140=""),"",INDEX(Ref_Frete!$B$2:$G$54,MATCH(C140,Ref_Frete!$A$2:$A$54,0),IF(B140="Pequenos",1,IF(B140="Medios",3,5))))</f>
        <v>49</v>
      </c>
      <c r="L140" s="13" t="n">
        <f aca="false">IF(OR(J140="",K140=""),"",J140-K140)</f>
        <v>-9.1</v>
      </c>
      <c r="M140" s="13" t="n">
        <f aca="false">IF(OR(H140="",F140="",G140=""),"",H140-G140-F140-H140*$B$3+IF(L140="",0,L140))</f>
        <v>146.646</v>
      </c>
      <c r="N140" s="12" t="n">
        <f aca="false">IF(OR(M140="",H140=0,H140=""),"",M140/H140)</f>
        <v>0.228335201793722</v>
      </c>
      <c r="O140" s="22" t="str">
        <f aca="false">IF(N140="","",IF(N140&lt;0,"PREJUÍZO",IF(N140&lt;0.1,"CRÍTICO (&lt;10%)",IF(N140&lt;0.15,"ABAIXO DA META (10-15%)",IF(N140&lt;=0.2,"DENTRO DA META (15-20%)","ACIMA DA META (&gt;20%)")))))</f>
        <v>ACIMA DA META (&gt;20%)</v>
      </c>
      <c r="P140" s="23"/>
    </row>
    <row r="141" customFormat="false" ht="15" hidden="true" customHeight="true" outlineLevel="0" collapsed="false">
      <c r="A141" s="19" t="s">
        <v>150</v>
      </c>
      <c r="B141" s="19" t="s">
        <v>130</v>
      </c>
      <c r="C141" s="19" t="s">
        <v>97</v>
      </c>
      <c r="D141" s="20" t="n">
        <v>571.15</v>
      </c>
      <c r="E141" s="21" t="n">
        <v>0</v>
      </c>
      <c r="F141" s="20" t="n">
        <v>292.43</v>
      </c>
      <c r="G141" s="13" t="n">
        <v>72.73</v>
      </c>
      <c r="H141" s="13" t="n">
        <f aca="false">IF(D141="","",D141*(1-E141))</f>
        <v>571.15</v>
      </c>
      <c r="I141" s="12" t="n">
        <f aca="false">IF(OR(G141="",H141=""),"",G141/H141)</f>
        <v>0.127339578044297</v>
      </c>
      <c r="J141" s="13" t="n">
        <f aca="false">IF(OR(B141="",C141=""),"",INDEX(Ref_Frete!$B$2:$G$54,MATCH(C141,Ref_Frete!$A$2:$A$54,0),IF(B141="Pequenos",2,IF(B141="Medios",4,6))))</f>
        <v>59.9</v>
      </c>
      <c r="K141" s="13" t="n">
        <f aca="false">IF(OR(B141="",C141=""),"",INDEX(Ref_Frete!$B$2:$G$54,MATCH(C141,Ref_Frete!$A$2:$A$54,0),IF(B141="Pequenos",1,IF(B141="Medios",3,5))))</f>
        <v>89</v>
      </c>
      <c r="L141" s="13" t="n">
        <f aca="false">IF(OR(J141="",K141=""),"",J141-K141)</f>
        <v>-29.1</v>
      </c>
      <c r="M141" s="13" t="n">
        <f aca="false">IF(OR(H141="",F141="",G141=""),"",H141-G141-F141-H141*$B$3+IF(L141="",0,L141))</f>
        <v>119.775</v>
      </c>
      <c r="N141" s="12" t="n">
        <f aca="false">IF(OR(M141="",H141=0,H141=""),"",M141/H141)</f>
        <v>0.209708482885407</v>
      </c>
      <c r="O141" s="22" t="str">
        <f aca="false">IF(N141="","",IF(N141&lt;0,"PREJUÍZO",IF(N141&lt;0.1,"CRÍTICO (&lt;10%)",IF(N141&lt;0.15,"ABAIXO DA META (10-15%)",IF(N141&lt;=0.2,"DENTRO DA META (15-20%)","ACIMA DA META (&gt;20%)")))))</f>
        <v>ACIMA DA META (&gt;20%)</v>
      </c>
      <c r="P141" s="23"/>
    </row>
    <row r="142" customFormat="false" ht="15" hidden="false" customHeight="true" outlineLevel="0" collapsed="false">
      <c r="A142" s="19" t="s">
        <v>150</v>
      </c>
      <c r="B142" s="19" t="s">
        <v>130</v>
      </c>
      <c r="C142" s="19" t="s">
        <v>98</v>
      </c>
      <c r="D142" s="20" t="n">
        <v>571.15</v>
      </c>
      <c r="E142" s="21" t="n">
        <v>0</v>
      </c>
      <c r="F142" s="20" t="n">
        <v>292.43</v>
      </c>
      <c r="G142" s="13" t="n">
        <v>72.73</v>
      </c>
      <c r="H142" s="13" t="n">
        <f aca="false">IF(D142="","",D142*(1-E142))</f>
        <v>571.15</v>
      </c>
      <c r="I142" s="12" t="n">
        <f aca="false">IF(OR(G142="",H142=""),"",G142/H142)</f>
        <v>0.127339578044297</v>
      </c>
      <c r="J142" s="13" t="n">
        <f aca="false">IF(OR(B142="",C142=""),"",INDEX(Ref_Frete!$B$2:$G$54,MATCH(C142,Ref_Frete!$A$2:$A$54,0),IF(B142="Pequenos",2,IF(B142="Medios",4,6))))</f>
        <v>39.9</v>
      </c>
      <c r="K142" s="13" t="n">
        <f aca="false">IF(OR(B142="",C142=""),"",INDEX(Ref_Frete!$B$2:$G$54,MATCH(C142,Ref_Frete!$A$2:$A$54,0),IF(B142="Pequenos",1,IF(B142="Medios",3,5))))</f>
        <v>49</v>
      </c>
      <c r="L142" s="13" t="n">
        <f aca="false">IF(OR(J142="",K142=""),"",J142-K142)</f>
        <v>-9.1</v>
      </c>
      <c r="M142" s="13" t="n">
        <f aca="false">IF(OR(H142="",F142="",G142=""),"",H142-G142-F142-H142*$B$3+IF(L142="",0,L142))</f>
        <v>139.775</v>
      </c>
      <c r="N142" s="12" t="n">
        <f aca="false">IF(OR(M142="",H142=0,H142=""),"",M142/H142)</f>
        <v>0.244725553707432</v>
      </c>
      <c r="O142" s="22" t="str">
        <f aca="false">IF(N142="","",IF(N142&lt;0,"PREJUÍZO",IF(N142&lt;0.1,"CRÍTICO (&lt;10%)",IF(N142&lt;0.15,"ABAIXO DA META (10-15%)",IF(N142&lt;=0.2,"DENTRO DA META (15-20%)","ACIMA DA META (&gt;20%)")))))</f>
        <v>ACIMA DA META (&gt;20%)</v>
      </c>
      <c r="P142" s="23"/>
    </row>
    <row r="143" customFormat="false" ht="15" hidden="true" customHeight="true" outlineLevel="0" collapsed="false">
      <c r="A143" s="19" t="s">
        <v>151</v>
      </c>
      <c r="B143" s="19" t="s">
        <v>130</v>
      </c>
      <c r="C143" s="19" t="s">
        <v>97</v>
      </c>
      <c r="D143" s="20" t="n">
        <v>650.63</v>
      </c>
      <c r="E143" s="21" t="n">
        <v>0</v>
      </c>
      <c r="F143" s="20" t="n">
        <v>342.16</v>
      </c>
      <c r="G143" s="13" t="n">
        <v>82.26</v>
      </c>
      <c r="H143" s="13" t="n">
        <f aca="false">IF(D143="","",D143*(1-E143))</f>
        <v>650.63</v>
      </c>
      <c r="I143" s="12" t="n">
        <f aca="false">IF(OR(G143="",H143=""),"",G143/H143)</f>
        <v>0.126431305042805</v>
      </c>
      <c r="J143" s="13" t="n">
        <f aca="false">IF(OR(B143="",C143=""),"",INDEX(Ref_Frete!$B$2:$G$54,MATCH(C143,Ref_Frete!$A$2:$A$54,0),IF(B143="Pequenos",2,IF(B143="Medios",4,6))))</f>
        <v>59.9</v>
      </c>
      <c r="K143" s="13" t="n">
        <f aca="false">IF(OR(B143="",C143=""),"",INDEX(Ref_Frete!$B$2:$G$54,MATCH(C143,Ref_Frete!$A$2:$A$54,0),IF(B143="Pequenos",1,IF(B143="Medios",3,5))))</f>
        <v>89</v>
      </c>
      <c r="L143" s="13" t="n">
        <f aca="false">IF(OR(J143="",K143=""),"",J143-K143)</f>
        <v>-29.1</v>
      </c>
      <c r="M143" s="13" t="n">
        <f aca="false">IF(OR(H143="",F143="",G143=""),"",H143-G143-F143-H143*$B$3+IF(L143="",0,L143))</f>
        <v>132.047</v>
      </c>
      <c r="N143" s="12" t="n">
        <f aca="false">IF(OR(M143="",H143=0,H143=""),"",M143/H143)</f>
        <v>0.202952522939305</v>
      </c>
      <c r="O143" s="22" t="str">
        <f aca="false">IF(N143="","",IF(N143&lt;0,"PREJUÍZO",IF(N143&lt;0.1,"CRÍTICO (&lt;10%)",IF(N143&lt;0.15,"ABAIXO DA META (10-15%)",IF(N143&lt;=0.2,"DENTRO DA META (15-20%)","ACIMA DA META (&gt;20%)")))))</f>
        <v>ACIMA DA META (&gt;20%)</v>
      </c>
      <c r="P143" s="23"/>
    </row>
    <row r="144" customFormat="false" ht="15" hidden="false" customHeight="true" outlineLevel="0" collapsed="false">
      <c r="A144" s="19" t="s">
        <v>151</v>
      </c>
      <c r="B144" s="19" t="s">
        <v>130</v>
      </c>
      <c r="C144" s="19" t="s">
        <v>98</v>
      </c>
      <c r="D144" s="20" t="n">
        <v>650.63</v>
      </c>
      <c r="E144" s="21" t="n">
        <v>0</v>
      </c>
      <c r="F144" s="20" t="n">
        <v>342.16</v>
      </c>
      <c r="G144" s="13" t="n">
        <v>82.26</v>
      </c>
      <c r="H144" s="13" t="n">
        <f aca="false">IF(D144="","",D144*(1-E144))</f>
        <v>650.63</v>
      </c>
      <c r="I144" s="12" t="n">
        <f aca="false">IF(OR(G144="",H144=""),"",G144/H144)</f>
        <v>0.126431305042805</v>
      </c>
      <c r="J144" s="13" t="n">
        <f aca="false">IF(OR(B144="",C144=""),"",INDEX(Ref_Frete!$B$2:$G$54,MATCH(C144,Ref_Frete!$A$2:$A$54,0),IF(B144="Pequenos",2,IF(B144="Medios",4,6))))</f>
        <v>39.9</v>
      </c>
      <c r="K144" s="13" t="n">
        <f aca="false">IF(OR(B144="",C144=""),"",INDEX(Ref_Frete!$B$2:$G$54,MATCH(C144,Ref_Frete!$A$2:$A$54,0),IF(B144="Pequenos",1,IF(B144="Medios",3,5))))</f>
        <v>49</v>
      </c>
      <c r="L144" s="13" t="n">
        <f aca="false">IF(OR(J144="",K144=""),"",J144-K144)</f>
        <v>-9.1</v>
      </c>
      <c r="M144" s="13" t="n">
        <f aca="false">IF(OR(H144="",F144="",G144=""),"",H144-G144-F144-H144*$B$3+IF(L144="",0,L144))</f>
        <v>152.047</v>
      </c>
      <c r="N144" s="12" t="n">
        <f aca="false">IF(OR(M144="",H144=0,H144=""),"",M144/H144)</f>
        <v>0.233691960100211</v>
      </c>
      <c r="O144" s="22" t="str">
        <f aca="false">IF(N144="","",IF(N144&lt;0,"PREJUÍZO",IF(N144&lt;0.1,"CRÍTICO (&lt;10%)",IF(N144&lt;0.15,"ABAIXO DA META (10-15%)",IF(N144&lt;=0.2,"DENTRO DA META (15-20%)","ACIMA DA META (&gt;20%)")))))</f>
        <v>ACIMA DA META (&gt;20%)</v>
      </c>
      <c r="P144" s="23"/>
    </row>
    <row r="145" customFormat="false" ht="15" hidden="true" customHeight="true" outlineLevel="0" collapsed="false">
      <c r="A145" s="19" t="s">
        <v>152</v>
      </c>
      <c r="B145" s="19" t="s">
        <v>130</v>
      </c>
      <c r="C145" s="19" t="s">
        <v>97</v>
      </c>
      <c r="D145" s="20" t="n">
        <v>635.32</v>
      </c>
      <c r="E145" s="21" t="n">
        <v>0</v>
      </c>
      <c r="F145" s="20" t="n">
        <v>329.38</v>
      </c>
      <c r="G145" s="13" t="n">
        <v>80.43</v>
      </c>
      <c r="H145" s="13" t="n">
        <f aca="false">IF(D145="","",D145*(1-E145))</f>
        <v>635.32</v>
      </c>
      <c r="I145" s="12" t="n">
        <f aca="false">IF(OR(G145="",H145=""),"",G145/H145)</f>
        <v>0.126597620096959</v>
      </c>
      <c r="J145" s="13" t="n">
        <f aca="false">IF(OR(B145="",C145=""),"",INDEX(Ref_Frete!$B$2:$G$54,MATCH(C145,Ref_Frete!$A$2:$A$54,0),IF(B145="Pequenos",2,IF(B145="Medios",4,6))))</f>
        <v>59.9</v>
      </c>
      <c r="K145" s="13" t="n">
        <f aca="false">IF(OR(B145="",C145=""),"",INDEX(Ref_Frete!$B$2:$G$54,MATCH(C145,Ref_Frete!$A$2:$A$54,0),IF(B145="Pequenos",1,IF(B145="Medios",3,5))))</f>
        <v>89</v>
      </c>
      <c r="L145" s="13" t="n">
        <f aca="false">IF(OR(J145="",K145=""),"",J145-K145)</f>
        <v>-29.1</v>
      </c>
      <c r="M145" s="13" t="n">
        <f aca="false">IF(OR(H145="",F145="",G145=""),"",H145-G145-F145-H145*$B$3+IF(L145="",0,L145))</f>
        <v>132.878</v>
      </c>
      <c r="N145" s="12" t="n">
        <f aca="false">IF(OR(M145="",H145=0,H145=""),"",M145/H145)</f>
        <v>0.209151293836177</v>
      </c>
      <c r="O145" s="22" t="str">
        <f aca="false">IF(N145="","",IF(N145&lt;0,"PREJUÍZO",IF(N145&lt;0.1,"CRÍTICO (&lt;10%)",IF(N145&lt;0.15,"ABAIXO DA META (10-15%)",IF(N145&lt;=0.2,"DENTRO DA META (15-20%)","ACIMA DA META (&gt;20%)")))))</f>
        <v>ACIMA DA META (&gt;20%)</v>
      </c>
      <c r="P145" s="23"/>
    </row>
    <row r="146" customFormat="false" ht="15" hidden="false" customHeight="true" outlineLevel="0" collapsed="false">
      <c r="A146" s="19" t="s">
        <v>152</v>
      </c>
      <c r="B146" s="19" t="s">
        <v>130</v>
      </c>
      <c r="C146" s="19" t="s">
        <v>98</v>
      </c>
      <c r="D146" s="20" t="n">
        <v>635.32</v>
      </c>
      <c r="E146" s="21" t="n">
        <v>0</v>
      </c>
      <c r="F146" s="20" t="n">
        <v>329.38</v>
      </c>
      <c r="G146" s="13" t="n">
        <v>80.43</v>
      </c>
      <c r="H146" s="13" t="n">
        <f aca="false">IF(D146="","",D146*(1-E146))</f>
        <v>635.32</v>
      </c>
      <c r="I146" s="12" t="n">
        <f aca="false">IF(OR(G146="",H146=""),"",G146/H146)</f>
        <v>0.126597620096959</v>
      </c>
      <c r="J146" s="13" t="n">
        <f aca="false">IF(OR(B146="",C146=""),"",INDEX(Ref_Frete!$B$2:$G$54,MATCH(C146,Ref_Frete!$A$2:$A$54,0),IF(B146="Pequenos",2,IF(B146="Medios",4,6))))</f>
        <v>39.9</v>
      </c>
      <c r="K146" s="13" t="n">
        <f aca="false">IF(OR(B146="",C146=""),"",INDEX(Ref_Frete!$B$2:$G$54,MATCH(C146,Ref_Frete!$A$2:$A$54,0),IF(B146="Pequenos",1,IF(B146="Medios",3,5))))</f>
        <v>49</v>
      </c>
      <c r="L146" s="13" t="n">
        <f aca="false">IF(OR(J146="",K146=""),"",J146-K146)</f>
        <v>-9.1</v>
      </c>
      <c r="M146" s="13" t="n">
        <f aca="false">IF(OR(H146="",F146="",G146=""),"",H146-G146-F146-H146*$B$3+IF(L146="",0,L146))</f>
        <v>152.878</v>
      </c>
      <c r="N146" s="12" t="n">
        <f aca="false">IF(OR(M146="",H146=0,H146=""),"",M146/H146)</f>
        <v>0.240631492791035</v>
      </c>
      <c r="O146" s="22" t="str">
        <f aca="false">IF(N146="","",IF(N146&lt;0,"PREJUÍZO",IF(N146&lt;0.1,"CRÍTICO (&lt;10%)",IF(N146&lt;0.15,"ABAIXO DA META (10-15%)",IF(N146&lt;=0.2,"DENTRO DA META (15-20%)","ACIMA DA META (&gt;20%)")))))</f>
        <v>ACIMA DA META (&gt;20%)</v>
      </c>
      <c r="P146" s="23"/>
    </row>
    <row r="147" customFormat="false" ht="15" hidden="true" customHeight="true" outlineLevel="0" collapsed="false">
      <c r="A147" s="19" t="s">
        <v>153</v>
      </c>
      <c r="B147" s="19" t="s">
        <v>130</v>
      </c>
      <c r="C147" s="19" t="s">
        <v>97</v>
      </c>
      <c r="D147" s="20" t="n">
        <v>691.86</v>
      </c>
      <c r="E147" s="21" t="n">
        <v>0</v>
      </c>
      <c r="F147" s="20" t="n">
        <v>364.77</v>
      </c>
      <c r="G147" s="13" t="n">
        <v>87.21</v>
      </c>
      <c r="H147" s="13" t="n">
        <f aca="false">IF(D147="","",D147*(1-E147))</f>
        <v>691.86</v>
      </c>
      <c r="I147" s="12" t="n">
        <f aca="false">IF(OR(G147="",H147=""),"",G147/H147)</f>
        <v>0.126051513311942</v>
      </c>
      <c r="J147" s="13" t="n">
        <f aca="false">IF(OR(B147="",C147=""),"",INDEX(Ref_Frete!$B$2:$G$54,MATCH(C147,Ref_Frete!$A$2:$A$54,0),IF(B147="Pequenos",2,IF(B147="Medios",4,6))))</f>
        <v>59.9</v>
      </c>
      <c r="K147" s="13" t="n">
        <f aca="false">IF(OR(B147="",C147=""),"",INDEX(Ref_Frete!$B$2:$G$54,MATCH(C147,Ref_Frete!$A$2:$A$54,0),IF(B147="Pequenos",1,IF(B147="Medios",3,5))))</f>
        <v>89</v>
      </c>
      <c r="L147" s="13" t="n">
        <f aca="false">IF(OR(J147="",K147=""),"",J147-K147)</f>
        <v>-29.1</v>
      </c>
      <c r="M147" s="13" t="n">
        <f aca="false">IF(OR(H147="",F147="",G147=""),"",H147-G147-F147-H147*$B$3+IF(L147="",0,L147))</f>
        <v>141.594</v>
      </c>
      <c r="N147" s="12" t="n">
        <f aca="false">IF(OR(M147="",H147=0,H147=""),"",M147/H147)</f>
        <v>0.204657011534125</v>
      </c>
      <c r="O147" s="22" t="str">
        <f aca="false">IF(N147="","",IF(N147&lt;0,"PREJUÍZO",IF(N147&lt;0.1,"CRÍTICO (&lt;10%)",IF(N147&lt;0.15,"ABAIXO DA META (10-15%)",IF(N147&lt;=0.2,"DENTRO DA META (15-20%)","ACIMA DA META (&gt;20%)")))))</f>
        <v>ACIMA DA META (&gt;20%)</v>
      </c>
      <c r="P147" s="23"/>
    </row>
    <row r="148" customFormat="false" ht="15" hidden="false" customHeight="true" outlineLevel="0" collapsed="false">
      <c r="A148" s="19" t="s">
        <v>153</v>
      </c>
      <c r="B148" s="19" t="s">
        <v>130</v>
      </c>
      <c r="C148" s="19" t="s">
        <v>98</v>
      </c>
      <c r="D148" s="20" t="n">
        <v>691.86</v>
      </c>
      <c r="E148" s="21" t="n">
        <v>0</v>
      </c>
      <c r="F148" s="20" t="n">
        <v>364.77</v>
      </c>
      <c r="G148" s="13" t="n">
        <v>87.21</v>
      </c>
      <c r="H148" s="13" t="n">
        <f aca="false">IF(D148="","",D148*(1-E148))</f>
        <v>691.86</v>
      </c>
      <c r="I148" s="12" t="n">
        <f aca="false">IF(OR(G148="",H148=""),"",G148/H148)</f>
        <v>0.126051513311942</v>
      </c>
      <c r="J148" s="13" t="n">
        <f aca="false">IF(OR(B148="",C148=""),"",INDEX(Ref_Frete!$B$2:$G$54,MATCH(C148,Ref_Frete!$A$2:$A$54,0),IF(B148="Pequenos",2,IF(B148="Medios",4,6))))</f>
        <v>39.9</v>
      </c>
      <c r="K148" s="13" t="n">
        <f aca="false">IF(OR(B148="",C148=""),"",INDEX(Ref_Frete!$B$2:$G$54,MATCH(C148,Ref_Frete!$A$2:$A$54,0),IF(B148="Pequenos",1,IF(B148="Medios",3,5))))</f>
        <v>49</v>
      </c>
      <c r="L148" s="13" t="n">
        <f aca="false">IF(OR(J148="",K148=""),"",J148-K148)</f>
        <v>-9.1</v>
      </c>
      <c r="M148" s="13" t="n">
        <f aca="false">IF(OR(H148="",F148="",G148=""),"",H148-G148-F148-H148*$B$3+IF(L148="",0,L148))</f>
        <v>161.594</v>
      </c>
      <c r="N148" s="12" t="n">
        <f aca="false">IF(OR(M148="",H148=0,H148=""),"",M148/H148)</f>
        <v>0.233564593993004</v>
      </c>
      <c r="O148" s="22" t="str">
        <f aca="false">IF(N148="","",IF(N148&lt;0,"PREJUÍZO",IF(N148&lt;0.1,"CRÍTICO (&lt;10%)",IF(N148&lt;0.15,"ABAIXO DA META (10-15%)",IF(N148&lt;=0.2,"DENTRO DA META (15-20%)","ACIMA DA META (&gt;20%)")))))</f>
        <v>ACIMA DA META (&gt;20%)</v>
      </c>
      <c r="P148" s="23"/>
    </row>
    <row r="149" customFormat="false" ht="15" hidden="true" customHeight="true" outlineLevel="0" collapsed="false">
      <c r="A149" s="19" t="s">
        <v>154</v>
      </c>
      <c r="B149" s="19" t="s">
        <v>130</v>
      </c>
      <c r="C149" s="19" t="s">
        <v>97</v>
      </c>
      <c r="D149" s="20" t="n">
        <v>380.01</v>
      </c>
      <c r="E149" s="21" t="n">
        <v>0</v>
      </c>
      <c r="F149" s="20" t="n">
        <v>194.88</v>
      </c>
      <c r="G149" s="13" t="n">
        <v>49.79</v>
      </c>
      <c r="H149" s="13" t="n">
        <f aca="false">IF(D149="","",D149*(1-E149))</f>
        <v>380.01</v>
      </c>
      <c r="I149" s="12" t="n">
        <f aca="false">IF(OR(G149="",H149=""),"",G149/H149)</f>
        <v>0.131022867819268</v>
      </c>
      <c r="J149" s="13" t="n">
        <f aca="false">IF(OR(B149="",C149=""),"",INDEX(Ref_Frete!$B$2:$G$54,MATCH(C149,Ref_Frete!$A$2:$A$54,0),IF(B149="Pequenos",2,IF(B149="Medios",4,6))))</f>
        <v>59.9</v>
      </c>
      <c r="K149" s="13" t="n">
        <f aca="false">IF(OR(B149="",C149=""),"",INDEX(Ref_Frete!$B$2:$G$54,MATCH(C149,Ref_Frete!$A$2:$A$54,0),IF(B149="Pequenos",1,IF(B149="Medios",3,5))))</f>
        <v>89</v>
      </c>
      <c r="L149" s="13" t="n">
        <f aca="false">IF(OR(J149="",K149=""),"",J149-K149)</f>
        <v>-29.1</v>
      </c>
      <c r="M149" s="13" t="n">
        <f aca="false">IF(OR(H149="",F149="",G149=""),"",H149-G149-F149-H149*$B$3+IF(L149="",0,L149))</f>
        <v>68.239</v>
      </c>
      <c r="N149" s="12" t="n">
        <f aca="false">IF(OR(M149="",H149=0,H149=""),"",M149/H149)</f>
        <v>0.17957159022131</v>
      </c>
      <c r="O149" s="22" t="str">
        <f aca="false">IF(N149="","",IF(N149&lt;0,"PREJUÍZO",IF(N149&lt;0.1,"CRÍTICO (&lt;10%)",IF(N149&lt;0.15,"ABAIXO DA META (10-15%)",IF(N149&lt;=0.2,"DENTRO DA META (15-20%)","ACIMA DA META (&gt;20%)")))))</f>
        <v>DENTRO DA META (15-20%)</v>
      </c>
      <c r="P149" s="23"/>
    </row>
    <row r="150" customFormat="false" ht="15" hidden="false" customHeight="true" outlineLevel="0" collapsed="false">
      <c r="A150" s="19" t="s">
        <v>154</v>
      </c>
      <c r="B150" s="19" t="s">
        <v>130</v>
      </c>
      <c r="C150" s="19" t="s">
        <v>98</v>
      </c>
      <c r="D150" s="20" t="n">
        <v>380.01</v>
      </c>
      <c r="E150" s="21" t="n">
        <v>0</v>
      </c>
      <c r="F150" s="20" t="n">
        <v>194.88</v>
      </c>
      <c r="G150" s="13" t="n">
        <v>49.79</v>
      </c>
      <c r="H150" s="13" t="n">
        <f aca="false">IF(D150="","",D150*(1-E150))</f>
        <v>380.01</v>
      </c>
      <c r="I150" s="12" t="n">
        <f aca="false">IF(OR(G150="",H150=""),"",G150/H150)</f>
        <v>0.131022867819268</v>
      </c>
      <c r="J150" s="13" t="n">
        <f aca="false">IF(OR(B150="",C150=""),"",INDEX(Ref_Frete!$B$2:$G$54,MATCH(C150,Ref_Frete!$A$2:$A$54,0),IF(B150="Pequenos",2,IF(B150="Medios",4,6))))</f>
        <v>39.9</v>
      </c>
      <c r="K150" s="13" t="n">
        <f aca="false">IF(OR(B150="",C150=""),"",INDEX(Ref_Frete!$B$2:$G$54,MATCH(C150,Ref_Frete!$A$2:$A$54,0),IF(B150="Pequenos",1,IF(B150="Medios",3,5))))</f>
        <v>49</v>
      </c>
      <c r="L150" s="13" t="n">
        <f aca="false">IF(OR(J150="",K150=""),"",J150-K150)</f>
        <v>-9.1</v>
      </c>
      <c r="M150" s="13" t="n">
        <f aca="false">IF(OR(H150="",F150="",G150=""),"",H150-G150-F150-H150*$B$3+IF(L150="",0,L150))</f>
        <v>88.239</v>
      </c>
      <c r="N150" s="12" t="n">
        <f aca="false">IF(OR(M150="",H150=0,H150=""),"",M150/H150)</f>
        <v>0.232201784163575</v>
      </c>
      <c r="O150" s="22" t="str">
        <f aca="false">IF(N150="","",IF(N150&lt;0,"PREJUÍZO",IF(N150&lt;0.1,"CRÍTICO (&lt;10%)",IF(N150&lt;0.15,"ABAIXO DA META (10-15%)",IF(N150&lt;=0.2,"DENTRO DA META (15-20%)","ACIMA DA META (&gt;20%)")))))</f>
        <v>ACIMA DA META (&gt;20%)</v>
      </c>
      <c r="P150" s="23"/>
    </row>
    <row r="151" customFormat="false" ht="15" hidden="true" customHeight="true" outlineLevel="0" collapsed="false">
      <c r="A151" s="19" t="s">
        <v>155</v>
      </c>
      <c r="B151" s="19" t="s">
        <v>130</v>
      </c>
      <c r="C151" s="19" t="s">
        <v>97</v>
      </c>
      <c r="D151" s="20" t="n">
        <v>467.67</v>
      </c>
      <c r="E151" s="21" t="n">
        <v>0</v>
      </c>
      <c r="F151" s="20" t="n">
        <v>240.55</v>
      </c>
      <c r="G151" s="13" t="n">
        <v>60.31</v>
      </c>
      <c r="H151" s="13" t="n">
        <f aca="false">IF(D151="","",D151*(1-E151))</f>
        <v>467.67</v>
      </c>
      <c r="I151" s="12" t="n">
        <f aca="false">IF(OR(G151="",H151=""),"",G151/H151)</f>
        <v>0.128958453610452</v>
      </c>
      <c r="J151" s="13" t="n">
        <f aca="false">IF(OR(B151="",C151=""),"",INDEX(Ref_Frete!$B$2:$G$54,MATCH(C151,Ref_Frete!$A$2:$A$54,0),IF(B151="Pequenos",2,IF(B151="Medios",4,6))))</f>
        <v>59.9</v>
      </c>
      <c r="K151" s="13" t="n">
        <f aca="false">IF(OR(B151="",C151=""),"",INDEX(Ref_Frete!$B$2:$G$54,MATCH(C151,Ref_Frete!$A$2:$A$54,0),IF(B151="Pequenos",1,IF(B151="Medios",3,5))))</f>
        <v>89</v>
      </c>
      <c r="L151" s="13" t="n">
        <f aca="false">IF(OR(J151="",K151=""),"",J151-K151)</f>
        <v>-29.1</v>
      </c>
      <c r="M151" s="13" t="n">
        <f aca="false">IF(OR(H151="",F151="",G151=""),"",H151-G151-F151-H151*$B$3+IF(L151="",0,L151))</f>
        <v>90.943</v>
      </c>
      <c r="N151" s="12" t="n">
        <f aca="false">IF(OR(M151="",H151=0,H151=""),"",M151/H151)</f>
        <v>0.194459768640281</v>
      </c>
      <c r="O151" s="22" t="str">
        <f aca="false">IF(N151="","",IF(N151&lt;0,"PREJUÍZO",IF(N151&lt;0.1,"CRÍTICO (&lt;10%)",IF(N151&lt;0.15,"ABAIXO DA META (10-15%)",IF(N151&lt;=0.2,"DENTRO DA META (15-20%)","ACIMA DA META (&gt;20%)")))))</f>
        <v>DENTRO DA META (15-20%)</v>
      </c>
      <c r="P151" s="23"/>
    </row>
    <row r="152" customFormat="false" ht="15" hidden="false" customHeight="true" outlineLevel="0" collapsed="false">
      <c r="A152" s="19" t="s">
        <v>155</v>
      </c>
      <c r="B152" s="19" t="s">
        <v>130</v>
      </c>
      <c r="C152" s="19" t="s">
        <v>98</v>
      </c>
      <c r="D152" s="20" t="n">
        <v>467.67</v>
      </c>
      <c r="E152" s="21" t="n">
        <v>0</v>
      </c>
      <c r="F152" s="20" t="n">
        <v>240.55</v>
      </c>
      <c r="G152" s="13" t="n">
        <v>60.31</v>
      </c>
      <c r="H152" s="13" t="n">
        <f aca="false">IF(D152="","",D152*(1-E152))</f>
        <v>467.67</v>
      </c>
      <c r="I152" s="12" t="n">
        <f aca="false">IF(OR(G152="",H152=""),"",G152/H152)</f>
        <v>0.128958453610452</v>
      </c>
      <c r="J152" s="13" t="n">
        <f aca="false">IF(OR(B152="",C152=""),"",INDEX(Ref_Frete!$B$2:$G$54,MATCH(C152,Ref_Frete!$A$2:$A$54,0),IF(B152="Pequenos",2,IF(B152="Medios",4,6))))</f>
        <v>39.9</v>
      </c>
      <c r="K152" s="13" t="n">
        <f aca="false">IF(OR(B152="",C152=""),"",INDEX(Ref_Frete!$B$2:$G$54,MATCH(C152,Ref_Frete!$A$2:$A$54,0),IF(B152="Pequenos",1,IF(B152="Medios",3,5))))</f>
        <v>49</v>
      </c>
      <c r="L152" s="13" t="n">
        <f aca="false">IF(OR(J152="",K152=""),"",J152-K152)</f>
        <v>-9.1</v>
      </c>
      <c r="M152" s="13" t="n">
        <f aca="false">IF(OR(H152="",F152="",G152=""),"",H152-G152-F152-H152*$B$3+IF(L152="",0,L152))</f>
        <v>110.943</v>
      </c>
      <c r="N152" s="12" t="n">
        <f aca="false">IF(OR(M152="",H152=0,H152=""),"",M152/H152)</f>
        <v>0.237224966322407</v>
      </c>
      <c r="O152" s="22" t="str">
        <f aca="false">IF(N152="","",IF(N152&lt;0,"PREJUÍZO",IF(N152&lt;0.1,"CRÍTICO (&lt;10%)",IF(N152&lt;0.15,"ABAIXO DA META (10-15%)",IF(N152&lt;=0.2,"DENTRO DA META (15-20%)","ACIMA DA META (&gt;20%)")))))</f>
        <v>ACIMA DA META (&gt;20%)</v>
      </c>
      <c r="P152" s="23"/>
    </row>
    <row r="153" customFormat="false" ht="15" hidden="true" customHeight="true" outlineLevel="0" collapsed="false">
      <c r="A153" s="19" t="s">
        <v>156</v>
      </c>
      <c r="B153" s="19" t="s">
        <v>130</v>
      </c>
      <c r="C153" s="19" t="s">
        <v>97</v>
      </c>
      <c r="D153" s="20" t="n">
        <v>623.5</v>
      </c>
      <c r="E153" s="21" t="n">
        <v>0</v>
      </c>
      <c r="F153" s="20" t="n">
        <v>345.63</v>
      </c>
      <c r="G153" s="13" t="n">
        <v>79.01</v>
      </c>
      <c r="H153" s="13" t="n">
        <f aca="false">IF(D153="","",D153*(1-E153))</f>
        <v>623.5</v>
      </c>
      <c r="I153" s="12" t="n">
        <f aca="false">IF(OR(G153="",H153=""),"",G153/H153)</f>
        <v>0.126720128307939</v>
      </c>
      <c r="J153" s="13" t="n">
        <f aca="false">IF(OR(B153="",C153=""),"",INDEX(Ref_Frete!$B$2:$G$54,MATCH(C153,Ref_Frete!$A$2:$A$54,0),IF(B153="Pequenos",2,IF(B153="Medios",4,6))))</f>
        <v>59.9</v>
      </c>
      <c r="K153" s="13" t="n">
        <f aca="false">IF(OR(B153="",C153=""),"",INDEX(Ref_Frete!$B$2:$G$54,MATCH(C153,Ref_Frete!$A$2:$A$54,0),IF(B153="Pequenos",1,IF(B153="Medios",3,5))))</f>
        <v>89</v>
      </c>
      <c r="L153" s="13" t="n">
        <f aca="false">IF(OR(J153="",K153=""),"",J153-K153)</f>
        <v>-29.1</v>
      </c>
      <c r="M153" s="13" t="n">
        <f aca="false">IF(OR(H153="",F153="",G153=""),"",H153-G153-F153-H153*$B$3+IF(L153="",0,L153))</f>
        <v>107.41</v>
      </c>
      <c r="N153" s="12" t="n">
        <f aca="false">IF(OR(M153="",H153=0,H153=""),"",M153/H153)</f>
        <v>0.172269446672013</v>
      </c>
      <c r="O153" s="22" t="str">
        <f aca="false">IF(N153="","",IF(N153&lt;0,"PREJUÍZO",IF(N153&lt;0.1,"CRÍTICO (&lt;10%)",IF(N153&lt;0.15,"ABAIXO DA META (10-15%)",IF(N153&lt;=0.2,"DENTRO DA META (15-20%)","ACIMA DA META (&gt;20%)")))))</f>
        <v>DENTRO DA META (15-20%)</v>
      </c>
      <c r="P153" s="23"/>
    </row>
    <row r="154" customFormat="false" ht="15" hidden="false" customHeight="true" outlineLevel="0" collapsed="false">
      <c r="A154" s="19" t="s">
        <v>156</v>
      </c>
      <c r="B154" s="19" t="s">
        <v>130</v>
      </c>
      <c r="C154" s="19" t="s">
        <v>98</v>
      </c>
      <c r="D154" s="20" t="n">
        <v>623.5</v>
      </c>
      <c r="E154" s="21" t="n">
        <v>0</v>
      </c>
      <c r="F154" s="20" t="n">
        <v>345.63</v>
      </c>
      <c r="G154" s="13" t="n">
        <v>79.01</v>
      </c>
      <c r="H154" s="13" t="n">
        <f aca="false">IF(D154="","",D154*(1-E154))</f>
        <v>623.5</v>
      </c>
      <c r="I154" s="12" t="n">
        <f aca="false">IF(OR(G154="",H154=""),"",G154/H154)</f>
        <v>0.126720128307939</v>
      </c>
      <c r="J154" s="13" t="n">
        <f aca="false">IF(OR(B154="",C154=""),"",INDEX(Ref_Frete!$B$2:$G$54,MATCH(C154,Ref_Frete!$A$2:$A$54,0),IF(B154="Pequenos",2,IF(B154="Medios",4,6))))</f>
        <v>39.9</v>
      </c>
      <c r="K154" s="13" t="n">
        <f aca="false">IF(OR(B154="",C154=""),"",INDEX(Ref_Frete!$B$2:$G$54,MATCH(C154,Ref_Frete!$A$2:$A$54,0),IF(B154="Pequenos",1,IF(B154="Medios",3,5))))</f>
        <v>49</v>
      </c>
      <c r="L154" s="13" t="n">
        <f aca="false">IF(OR(J154="",K154=""),"",J154-K154)</f>
        <v>-9.1</v>
      </c>
      <c r="M154" s="13" t="n">
        <f aca="false">IF(OR(H154="",F154="",G154=""),"",H154-G154-F154-H154*$B$3+IF(L154="",0,L154))</f>
        <v>127.41</v>
      </c>
      <c r="N154" s="12" t="n">
        <f aca="false">IF(OR(M154="",H154=0,H154=""),"",M154/H154)</f>
        <v>0.204346431435445</v>
      </c>
      <c r="O154" s="22" t="str">
        <f aca="false">IF(N154="","",IF(N154&lt;0,"PREJUÍZO",IF(N154&lt;0.1,"CRÍTICO (&lt;10%)",IF(N154&lt;0.15,"ABAIXO DA META (10-15%)",IF(N154&lt;=0.2,"DENTRO DA META (15-20%)","ACIMA DA META (&gt;20%)")))))</f>
        <v>ACIMA DA META (&gt;20%)</v>
      </c>
      <c r="P154" s="23"/>
    </row>
    <row r="155" customFormat="false" ht="15" hidden="true" customHeight="true" outlineLevel="0" collapsed="false">
      <c r="A155" s="19" t="s">
        <v>52</v>
      </c>
      <c r="B155" s="19" t="s">
        <v>130</v>
      </c>
      <c r="C155" s="19" t="s">
        <v>97</v>
      </c>
      <c r="D155" s="20" t="n">
        <v>511.42</v>
      </c>
      <c r="E155" s="21" t="n">
        <v>0</v>
      </c>
      <c r="F155" s="20" t="n">
        <v>242.26</v>
      </c>
      <c r="G155" s="13" t="n">
        <v>65.56</v>
      </c>
      <c r="H155" s="13" t="n">
        <f aca="false">IF(D155="","",D155*(1-E155))</f>
        <v>511.42</v>
      </c>
      <c r="I155" s="12" t="n">
        <f aca="false">IF(OR(G155="",H155=""),"",G155/H155)</f>
        <v>0.128192092604904</v>
      </c>
      <c r="J155" s="13" t="n">
        <f aca="false">IF(OR(B155="",C155=""),"",INDEX(Ref_Frete!$B$2:$G$54,MATCH(C155,Ref_Frete!$A$2:$A$54,0),IF(B155="Pequenos",2,IF(B155="Medios",4,6))))</f>
        <v>59.9</v>
      </c>
      <c r="K155" s="13" t="n">
        <f aca="false">IF(OR(B155="",C155=""),"",INDEX(Ref_Frete!$B$2:$G$54,MATCH(C155,Ref_Frete!$A$2:$A$54,0),IF(B155="Pequenos",1,IF(B155="Medios",3,5))))</f>
        <v>89</v>
      </c>
      <c r="L155" s="13" t="n">
        <f aca="false">IF(OR(J155="",K155=""),"",J155-K155)</f>
        <v>-29.1</v>
      </c>
      <c r="M155" s="13" t="n">
        <f aca="false">IF(OR(H155="",F155="",G155=""),"",H155-G155-F155-H155*$B$3+IF(L155="",0,L155))</f>
        <v>123.358</v>
      </c>
      <c r="N155" s="12" t="n">
        <f aca="false">IF(OR(M155="",H155=0,H155=""),"",M155/H155)</f>
        <v>0.241206835868758</v>
      </c>
      <c r="O155" s="22" t="str">
        <f aca="false">IF(N155="","",IF(N155&lt;0,"PREJUÍZO",IF(N155&lt;0.1,"CRÍTICO (&lt;10%)",IF(N155&lt;0.15,"ABAIXO DA META (10-15%)",IF(N155&lt;=0.2,"DENTRO DA META (15-20%)","ACIMA DA META (&gt;20%)")))))</f>
        <v>ACIMA DA META (&gt;20%)</v>
      </c>
      <c r="P155" s="23"/>
    </row>
    <row r="156" customFormat="false" ht="15" hidden="false" customHeight="true" outlineLevel="0" collapsed="false">
      <c r="A156" s="19" t="s">
        <v>52</v>
      </c>
      <c r="B156" s="19" t="s">
        <v>130</v>
      </c>
      <c r="C156" s="19" t="s">
        <v>98</v>
      </c>
      <c r="D156" s="20" t="n">
        <v>511.42</v>
      </c>
      <c r="E156" s="21" t="n">
        <v>0</v>
      </c>
      <c r="F156" s="20" t="n">
        <v>242.26</v>
      </c>
      <c r="G156" s="13" t="n">
        <v>65.56</v>
      </c>
      <c r="H156" s="13" t="n">
        <f aca="false">IF(D156="","",D156*(1-E156))</f>
        <v>511.42</v>
      </c>
      <c r="I156" s="12" t="n">
        <f aca="false">IF(OR(G156="",H156=""),"",G156/H156)</f>
        <v>0.128192092604904</v>
      </c>
      <c r="J156" s="13" t="n">
        <f aca="false">IF(OR(B156="",C156=""),"",INDEX(Ref_Frete!$B$2:$G$54,MATCH(C156,Ref_Frete!$A$2:$A$54,0),IF(B156="Pequenos",2,IF(B156="Medios",4,6))))</f>
        <v>39.9</v>
      </c>
      <c r="K156" s="13" t="n">
        <f aca="false">IF(OR(B156="",C156=""),"",INDEX(Ref_Frete!$B$2:$G$54,MATCH(C156,Ref_Frete!$A$2:$A$54,0),IF(B156="Pequenos",1,IF(B156="Medios",3,5))))</f>
        <v>49</v>
      </c>
      <c r="L156" s="13" t="n">
        <f aca="false">IF(OR(J156="",K156=""),"",J156-K156)</f>
        <v>-9.1</v>
      </c>
      <c r="M156" s="13" t="n">
        <f aca="false">IF(OR(H156="",F156="",G156=""),"",H156-G156-F156-H156*$B$3+IF(L156="",0,L156))</f>
        <v>143.358</v>
      </c>
      <c r="N156" s="12" t="n">
        <f aca="false">IF(OR(M156="",H156=0,H156=""),"",M156/H156)</f>
        <v>0.280313636541395</v>
      </c>
      <c r="O156" s="22" t="str">
        <f aca="false">IF(N156="","",IF(N156&lt;0,"PREJUÍZO",IF(N156&lt;0.1,"CRÍTICO (&lt;10%)",IF(N156&lt;0.15,"ABAIXO DA META (10-15%)",IF(N156&lt;=0.2,"DENTRO DA META (15-20%)","ACIMA DA META (&gt;20%)")))))</f>
        <v>ACIMA DA META (&gt;20%)</v>
      </c>
      <c r="P156" s="23"/>
    </row>
    <row r="157" customFormat="false" ht="15" hidden="true" customHeight="true" outlineLevel="0" collapsed="false">
      <c r="A157" s="19" t="s">
        <v>157</v>
      </c>
      <c r="B157" s="19" t="s">
        <v>130</v>
      </c>
      <c r="C157" s="19" t="s">
        <v>97</v>
      </c>
      <c r="D157" s="20" t="n">
        <v>629.08</v>
      </c>
      <c r="E157" s="21" t="n">
        <v>0</v>
      </c>
      <c r="F157" s="20" t="n">
        <v>347.99</v>
      </c>
      <c r="G157" s="13" t="n">
        <v>79.58</v>
      </c>
      <c r="H157" s="13" t="n">
        <f aca="false">IF(D157="","",D157*(1-E157))</f>
        <v>629.08</v>
      </c>
      <c r="I157" s="12" t="n">
        <f aca="false">IF(OR(G157="",H157=""),"",G157/H157)</f>
        <v>0.126502193679659</v>
      </c>
      <c r="J157" s="13" t="n">
        <f aca="false">IF(OR(B157="",C157=""),"",INDEX(Ref_Frete!$B$2:$G$54,MATCH(C157,Ref_Frete!$A$2:$A$54,0),IF(B157="Pequenos",2,IF(B157="Medios",4,6))))</f>
        <v>59.9</v>
      </c>
      <c r="K157" s="13" t="n">
        <f aca="false">IF(OR(B157="",C157=""),"",INDEX(Ref_Frete!$B$2:$G$54,MATCH(C157,Ref_Frete!$A$2:$A$54,0),IF(B157="Pequenos",1,IF(B157="Medios",3,5))))</f>
        <v>89</v>
      </c>
      <c r="L157" s="13" t="n">
        <f aca="false">IF(OR(J157="",K157=""),"",J157-K157)</f>
        <v>-29.1</v>
      </c>
      <c r="M157" s="13" t="n">
        <f aca="false">IF(OR(H157="",F157="",G157=""),"",H157-G157-F157-H157*$B$3+IF(L157="",0,L157))</f>
        <v>109.502</v>
      </c>
      <c r="N157" s="12" t="n">
        <f aca="false">IF(OR(M157="",H157=0,H157=""),"",M157/H157)</f>
        <v>0.174066891333376</v>
      </c>
      <c r="O157" s="22" t="str">
        <f aca="false">IF(N157="","",IF(N157&lt;0,"PREJUÍZO",IF(N157&lt;0.1,"CRÍTICO (&lt;10%)",IF(N157&lt;0.15,"ABAIXO DA META (10-15%)",IF(N157&lt;=0.2,"DENTRO DA META (15-20%)","ACIMA DA META (&gt;20%)")))))</f>
        <v>DENTRO DA META (15-20%)</v>
      </c>
      <c r="P157" s="23"/>
    </row>
    <row r="158" customFormat="false" ht="15" hidden="false" customHeight="true" outlineLevel="0" collapsed="false">
      <c r="A158" s="19" t="s">
        <v>157</v>
      </c>
      <c r="B158" s="19" t="s">
        <v>130</v>
      </c>
      <c r="C158" s="19" t="s">
        <v>98</v>
      </c>
      <c r="D158" s="20" t="n">
        <v>629.08</v>
      </c>
      <c r="E158" s="21" t="n">
        <v>0</v>
      </c>
      <c r="F158" s="20" t="n">
        <v>347.99</v>
      </c>
      <c r="G158" s="13" t="n">
        <v>79.58</v>
      </c>
      <c r="H158" s="13" t="n">
        <f aca="false">IF(D158="","",D158*(1-E158))</f>
        <v>629.08</v>
      </c>
      <c r="I158" s="12" t="n">
        <f aca="false">IF(OR(G158="",H158=""),"",G158/H158)</f>
        <v>0.126502193679659</v>
      </c>
      <c r="J158" s="13" t="n">
        <f aca="false">IF(OR(B158="",C158=""),"",INDEX(Ref_Frete!$B$2:$G$54,MATCH(C158,Ref_Frete!$A$2:$A$54,0),IF(B158="Pequenos",2,IF(B158="Medios",4,6))))</f>
        <v>39.9</v>
      </c>
      <c r="K158" s="13" t="n">
        <f aca="false">IF(OR(B158="",C158=""),"",INDEX(Ref_Frete!$B$2:$G$54,MATCH(C158,Ref_Frete!$A$2:$A$54,0),IF(B158="Pequenos",1,IF(B158="Medios",3,5))))</f>
        <v>49</v>
      </c>
      <c r="L158" s="13" t="n">
        <f aca="false">IF(OR(J158="",K158=""),"",J158-K158)</f>
        <v>-9.1</v>
      </c>
      <c r="M158" s="13" t="n">
        <f aca="false">IF(OR(H158="",F158="",G158=""),"",H158-G158-F158-H158*$B$3+IF(L158="",0,L158))</f>
        <v>129.502</v>
      </c>
      <c r="N158" s="12" t="n">
        <f aca="false">IF(OR(M158="",H158=0,H158=""),"",M158/H158)</f>
        <v>0.205859350162142</v>
      </c>
      <c r="O158" s="22" t="str">
        <f aca="false">IF(N158="","",IF(N158&lt;0,"PREJUÍZO",IF(N158&lt;0.1,"CRÍTICO (&lt;10%)",IF(N158&lt;0.15,"ABAIXO DA META (10-15%)",IF(N158&lt;=0.2,"DENTRO DA META (15-20%)","ACIMA DA META (&gt;20%)")))))</f>
        <v>ACIMA DA META (&gt;20%)</v>
      </c>
      <c r="P158" s="23"/>
    </row>
    <row r="159" customFormat="false" ht="15" hidden="true" customHeight="true" outlineLevel="0" collapsed="false">
      <c r="A159" s="19" t="s">
        <v>57</v>
      </c>
      <c r="B159" s="19" t="s">
        <v>130</v>
      </c>
      <c r="C159" s="19" t="s">
        <v>97</v>
      </c>
      <c r="D159" s="20" t="n">
        <v>616.18</v>
      </c>
      <c r="E159" s="21" t="n">
        <v>0</v>
      </c>
      <c r="F159" s="20" t="n">
        <v>307.26</v>
      </c>
      <c r="G159" s="13" t="n">
        <v>78.13</v>
      </c>
      <c r="H159" s="13" t="n">
        <f aca="false">IF(D159="","",D159*(1-E159))</f>
        <v>616.18</v>
      </c>
      <c r="I159" s="12" t="n">
        <f aca="false">IF(OR(G159="",H159=""),"",G159/H159)</f>
        <v>0.126797364406505</v>
      </c>
      <c r="J159" s="13" t="n">
        <f aca="false">IF(OR(B159="",C159=""),"",INDEX(Ref_Frete!$B$2:$G$54,MATCH(C159,Ref_Frete!$A$2:$A$54,0),IF(B159="Pequenos",2,IF(B159="Medios",4,6))))</f>
        <v>59.9</v>
      </c>
      <c r="K159" s="13" t="n">
        <f aca="false">IF(OR(B159="",C159=""),"",INDEX(Ref_Frete!$B$2:$G$54,MATCH(C159,Ref_Frete!$A$2:$A$54,0),IF(B159="Pequenos",1,IF(B159="Medios",3,5))))</f>
        <v>89</v>
      </c>
      <c r="L159" s="13" t="n">
        <f aca="false">IF(OR(J159="",K159=""),"",J159-K159)</f>
        <v>-29.1</v>
      </c>
      <c r="M159" s="13" t="n">
        <f aca="false">IF(OR(H159="",F159="",G159=""),"",H159-G159-F159-H159*$B$3+IF(L159="",0,L159))</f>
        <v>140.072</v>
      </c>
      <c r="N159" s="12" t="n">
        <f aca="false">IF(OR(M159="",H159=0,H159=""),"",M159/H159)</f>
        <v>0.227323184783667</v>
      </c>
      <c r="O159" s="22" t="str">
        <f aca="false">IF(N159="","",IF(N159&lt;0,"PREJUÍZO",IF(N159&lt;0.1,"CRÍTICO (&lt;10%)",IF(N159&lt;0.15,"ABAIXO DA META (10-15%)",IF(N159&lt;=0.2,"DENTRO DA META (15-20%)","ACIMA DA META (&gt;20%)")))))</f>
        <v>ACIMA DA META (&gt;20%)</v>
      </c>
      <c r="P159" s="23"/>
    </row>
    <row r="160" customFormat="false" ht="15" hidden="false" customHeight="true" outlineLevel="0" collapsed="false">
      <c r="A160" s="19" t="s">
        <v>57</v>
      </c>
      <c r="B160" s="19" t="s">
        <v>130</v>
      </c>
      <c r="C160" s="19" t="s">
        <v>98</v>
      </c>
      <c r="D160" s="20" t="n">
        <v>616.18</v>
      </c>
      <c r="E160" s="21" t="n">
        <v>0</v>
      </c>
      <c r="F160" s="20" t="n">
        <v>307.26</v>
      </c>
      <c r="G160" s="13" t="n">
        <v>78.13</v>
      </c>
      <c r="H160" s="13" t="n">
        <f aca="false">IF(D160="","",D160*(1-E160))</f>
        <v>616.18</v>
      </c>
      <c r="I160" s="12" t="n">
        <f aca="false">IF(OR(G160="",H160=""),"",G160/H160)</f>
        <v>0.126797364406505</v>
      </c>
      <c r="J160" s="13" t="n">
        <f aca="false">IF(OR(B160="",C160=""),"",INDEX(Ref_Frete!$B$2:$G$54,MATCH(C160,Ref_Frete!$A$2:$A$54,0),IF(B160="Pequenos",2,IF(B160="Medios",4,6))))</f>
        <v>39.9</v>
      </c>
      <c r="K160" s="13" t="n">
        <f aca="false">IF(OR(B160="",C160=""),"",INDEX(Ref_Frete!$B$2:$G$54,MATCH(C160,Ref_Frete!$A$2:$A$54,0),IF(B160="Pequenos",1,IF(B160="Medios",3,5))))</f>
        <v>49</v>
      </c>
      <c r="L160" s="13" t="n">
        <f aca="false">IF(OR(J160="",K160=""),"",J160-K160)</f>
        <v>-9.1</v>
      </c>
      <c r="M160" s="13" t="n">
        <f aca="false">IF(OR(H160="",F160="",G160=""),"",H160-G160-F160-H160*$B$3+IF(L160="",0,L160))</f>
        <v>160.072</v>
      </c>
      <c r="N160" s="12" t="n">
        <f aca="false">IF(OR(M160="",H160=0,H160=""),"",M160/H160)</f>
        <v>0.259781232756662</v>
      </c>
      <c r="O160" s="22" t="str">
        <f aca="false">IF(N160="","",IF(N160&lt;0,"PREJUÍZO",IF(N160&lt;0.1,"CRÍTICO (&lt;10%)",IF(N160&lt;0.15,"ABAIXO DA META (10-15%)",IF(N160&lt;=0.2,"DENTRO DA META (15-20%)","ACIMA DA META (&gt;20%)")))))</f>
        <v>ACIMA DA META (&gt;20%)</v>
      </c>
      <c r="P160" s="23"/>
    </row>
    <row r="161" customFormat="false" ht="15" hidden="true" customHeight="true" outlineLevel="0" collapsed="false">
      <c r="A161" s="19" t="s">
        <v>56</v>
      </c>
      <c r="B161" s="19" t="s">
        <v>130</v>
      </c>
      <c r="C161" s="19" t="s">
        <v>97</v>
      </c>
      <c r="D161" s="20" t="n">
        <v>840.63</v>
      </c>
      <c r="E161" s="21" t="n">
        <v>0</v>
      </c>
      <c r="F161" s="20" t="n">
        <v>421.92</v>
      </c>
      <c r="G161" s="13" t="n">
        <v>105.06</v>
      </c>
      <c r="H161" s="13" t="n">
        <f aca="false">IF(D161="","",D161*(1-E161))</f>
        <v>840.63</v>
      </c>
      <c r="I161" s="12" t="n">
        <f aca="false">IF(OR(G161="",H161=""),"",G161/H161)</f>
        <v>0.124977695299954</v>
      </c>
      <c r="J161" s="13" t="n">
        <f aca="false">IF(OR(B161="",C161=""),"",INDEX(Ref_Frete!$B$2:$G$54,MATCH(C161,Ref_Frete!$A$2:$A$54,0),IF(B161="Pequenos",2,IF(B161="Medios",4,6))))</f>
        <v>59.9</v>
      </c>
      <c r="K161" s="13" t="n">
        <f aca="false">IF(OR(B161="",C161=""),"",INDEX(Ref_Frete!$B$2:$G$54,MATCH(C161,Ref_Frete!$A$2:$A$54,0),IF(B161="Pequenos",1,IF(B161="Medios",3,5))))</f>
        <v>89</v>
      </c>
      <c r="L161" s="13" t="n">
        <f aca="false">IF(OR(J161="",K161=""),"",J161-K161)</f>
        <v>-29.1</v>
      </c>
      <c r="M161" s="13" t="n">
        <f aca="false">IF(OR(H161="",F161="",G161=""),"",H161-G161-F161-H161*$B$3+IF(L161="",0,L161))</f>
        <v>200.487</v>
      </c>
      <c r="N161" s="12" t="n">
        <f aca="false">IF(OR(M161="",H161=0,H161=""),"",M161/H161)</f>
        <v>0.238496127904072</v>
      </c>
      <c r="O161" s="22" t="str">
        <f aca="false">IF(N161="","",IF(N161&lt;0,"PREJUÍZO",IF(N161&lt;0.1,"CRÍTICO (&lt;10%)",IF(N161&lt;0.15,"ABAIXO DA META (10-15%)",IF(N161&lt;=0.2,"DENTRO DA META (15-20%)","ACIMA DA META (&gt;20%)")))))</f>
        <v>ACIMA DA META (&gt;20%)</v>
      </c>
      <c r="P161" s="23"/>
    </row>
    <row r="162" customFormat="false" ht="15" hidden="false" customHeight="true" outlineLevel="0" collapsed="false">
      <c r="A162" s="19" t="s">
        <v>56</v>
      </c>
      <c r="B162" s="19" t="s">
        <v>130</v>
      </c>
      <c r="C162" s="19" t="s">
        <v>98</v>
      </c>
      <c r="D162" s="20" t="n">
        <v>840.63</v>
      </c>
      <c r="E162" s="21" t="n">
        <v>0</v>
      </c>
      <c r="F162" s="20" t="n">
        <v>421.92</v>
      </c>
      <c r="G162" s="13" t="n">
        <v>105.06</v>
      </c>
      <c r="H162" s="13" t="n">
        <f aca="false">IF(D162="","",D162*(1-E162))</f>
        <v>840.63</v>
      </c>
      <c r="I162" s="12" t="n">
        <f aca="false">IF(OR(G162="",H162=""),"",G162/H162)</f>
        <v>0.124977695299954</v>
      </c>
      <c r="J162" s="13" t="n">
        <f aca="false">IF(OR(B162="",C162=""),"",INDEX(Ref_Frete!$B$2:$G$54,MATCH(C162,Ref_Frete!$A$2:$A$54,0),IF(B162="Pequenos",2,IF(B162="Medios",4,6))))</f>
        <v>39.9</v>
      </c>
      <c r="K162" s="13" t="n">
        <f aca="false">IF(OR(B162="",C162=""),"",INDEX(Ref_Frete!$B$2:$G$54,MATCH(C162,Ref_Frete!$A$2:$A$54,0),IF(B162="Pequenos",1,IF(B162="Medios",3,5))))</f>
        <v>49</v>
      </c>
      <c r="L162" s="13" t="n">
        <f aca="false">IF(OR(J162="",K162=""),"",J162-K162)</f>
        <v>-9.1</v>
      </c>
      <c r="M162" s="13" t="n">
        <f aca="false">IF(OR(H162="",F162="",G162=""),"",H162-G162-F162-H162*$B$3+IF(L162="",0,L162))</f>
        <v>220.487</v>
      </c>
      <c r="N162" s="12" t="n">
        <f aca="false">IF(OR(M162="",H162=0,H162=""),"",M162/H162)</f>
        <v>0.262287807953559</v>
      </c>
      <c r="O162" s="22" t="str">
        <f aca="false">IF(N162="","",IF(N162&lt;0,"PREJUÍZO",IF(N162&lt;0.1,"CRÍTICO (&lt;10%)",IF(N162&lt;0.15,"ABAIXO DA META (10-15%)",IF(N162&lt;=0.2,"DENTRO DA META (15-20%)","ACIMA DA META (&gt;20%)")))))</f>
        <v>ACIMA DA META (&gt;20%)</v>
      </c>
      <c r="P162" s="23"/>
    </row>
    <row r="163" customFormat="false" ht="15" hidden="true" customHeight="true" outlineLevel="0" collapsed="false">
      <c r="A163" s="19" t="s">
        <v>158</v>
      </c>
      <c r="B163" s="19" t="s">
        <v>130</v>
      </c>
      <c r="C163" s="19" t="s">
        <v>97</v>
      </c>
      <c r="D163" s="20" t="n">
        <v>701.76</v>
      </c>
      <c r="E163" s="21" t="n">
        <v>0</v>
      </c>
      <c r="F163" s="20" t="n">
        <v>374.18</v>
      </c>
      <c r="G163" s="13" t="n">
        <v>88.4</v>
      </c>
      <c r="H163" s="13" t="n">
        <f aca="false">IF(D163="","",D163*(1-E163))</f>
        <v>701.76</v>
      </c>
      <c r="I163" s="12" t="n">
        <f aca="false">IF(OR(G163="",H163=""),"",G163/H163)</f>
        <v>0.125968992248062</v>
      </c>
      <c r="J163" s="13" t="n">
        <f aca="false">IF(OR(B163="",C163=""),"",INDEX(Ref_Frete!$B$2:$G$54,MATCH(C163,Ref_Frete!$A$2:$A$54,0),IF(B163="Pequenos",2,IF(B163="Medios",4,6))))</f>
        <v>59.9</v>
      </c>
      <c r="K163" s="13" t="n">
        <f aca="false">IF(OR(B163="",C163=""),"",INDEX(Ref_Frete!$B$2:$G$54,MATCH(C163,Ref_Frete!$A$2:$A$54,0),IF(B163="Pequenos",1,IF(B163="Medios",3,5))))</f>
        <v>89</v>
      </c>
      <c r="L163" s="13" t="n">
        <f aca="false">IF(OR(J163="",K163=""),"",J163-K163)</f>
        <v>-29.1</v>
      </c>
      <c r="M163" s="13" t="n">
        <f aca="false">IF(OR(H163="",F163="",G163=""),"",H163-G163-F163-H163*$B$3+IF(L163="",0,L163))</f>
        <v>139.904</v>
      </c>
      <c r="N163" s="12" t="n">
        <f aca="false">IF(OR(M163="",H163=0,H163=""),"",M163/H163)</f>
        <v>0.199361605107159</v>
      </c>
      <c r="O163" s="22" t="str">
        <f aca="false">IF(N163="","",IF(N163&lt;0,"PREJUÍZO",IF(N163&lt;0.1,"CRÍTICO (&lt;10%)",IF(N163&lt;0.15,"ABAIXO DA META (10-15%)",IF(N163&lt;=0.2,"DENTRO DA META (15-20%)","ACIMA DA META (&gt;20%)")))))</f>
        <v>DENTRO DA META (15-20%)</v>
      </c>
      <c r="P163" s="23"/>
    </row>
    <row r="164" customFormat="false" ht="15" hidden="false" customHeight="true" outlineLevel="0" collapsed="false">
      <c r="A164" s="19" t="s">
        <v>158</v>
      </c>
      <c r="B164" s="19" t="s">
        <v>130</v>
      </c>
      <c r="C164" s="19" t="s">
        <v>98</v>
      </c>
      <c r="D164" s="20" t="n">
        <v>701.76</v>
      </c>
      <c r="E164" s="21" t="n">
        <v>0</v>
      </c>
      <c r="F164" s="20" t="n">
        <v>374.18</v>
      </c>
      <c r="G164" s="13" t="n">
        <v>88.4</v>
      </c>
      <c r="H164" s="13" t="n">
        <f aca="false">IF(D164="","",D164*(1-E164))</f>
        <v>701.76</v>
      </c>
      <c r="I164" s="12" t="n">
        <f aca="false">IF(OR(G164="",H164=""),"",G164/H164)</f>
        <v>0.125968992248062</v>
      </c>
      <c r="J164" s="13" t="n">
        <f aca="false">IF(OR(B164="",C164=""),"",INDEX(Ref_Frete!$B$2:$G$54,MATCH(C164,Ref_Frete!$A$2:$A$54,0),IF(B164="Pequenos",2,IF(B164="Medios",4,6))))</f>
        <v>39.9</v>
      </c>
      <c r="K164" s="13" t="n">
        <f aca="false">IF(OR(B164="",C164=""),"",INDEX(Ref_Frete!$B$2:$G$54,MATCH(C164,Ref_Frete!$A$2:$A$54,0),IF(B164="Pequenos",1,IF(B164="Medios",3,5))))</f>
        <v>49</v>
      </c>
      <c r="L164" s="13" t="n">
        <f aca="false">IF(OR(J164="",K164=""),"",J164-K164)</f>
        <v>-9.1</v>
      </c>
      <c r="M164" s="13" t="n">
        <f aca="false">IF(OR(H164="",F164="",G164=""),"",H164-G164-F164-H164*$B$3+IF(L164="",0,L164))</f>
        <v>159.904</v>
      </c>
      <c r="N164" s="12" t="n">
        <f aca="false">IF(OR(M164="",H164=0,H164=""),"",M164/H164)</f>
        <v>0.227861377108983</v>
      </c>
      <c r="O164" s="22" t="str">
        <f aca="false">IF(N164="","",IF(N164&lt;0,"PREJUÍZO",IF(N164&lt;0.1,"CRÍTICO (&lt;10%)",IF(N164&lt;0.15,"ABAIXO DA META (10-15%)",IF(N164&lt;=0.2,"DENTRO DA META (15-20%)","ACIMA DA META (&gt;20%)")))))</f>
        <v>ACIMA DA META (&gt;20%)</v>
      </c>
      <c r="P164" s="23"/>
    </row>
    <row r="165" customFormat="false" ht="15" hidden="true" customHeight="true" outlineLevel="0" collapsed="false">
      <c r="A165" s="19" t="s">
        <v>159</v>
      </c>
      <c r="B165" s="19" t="s">
        <v>130</v>
      </c>
      <c r="C165" s="19" t="s">
        <v>97</v>
      </c>
      <c r="D165" s="20" t="n">
        <v>912.46</v>
      </c>
      <c r="E165" s="21" t="n">
        <v>0</v>
      </c>
      <c r="F165" s="20" t="n">
        <v>485.02</v>
      </c>
      <c r="G165" s="13" t="n">
        <v>113.68</v>
      </c>
      <c r="H165" s="13" t="n">
        <f aca="false">IF(D165="","",D165*(1-E165))</f>
        <v>912.46</v>
      </c>
      <c r="I165" s="12" t="n">
        <f aca="false">IF(OR(G165="",H165=""),"",G165/H165)</f>
        <v>0.124586283234334</v>
      </c>
      <c r="J165" s="13" t="n">
        <f aca="false">IF(OR(B165="",C165=""),"",INDEX(Ref_Frete!$B$2:$G$54,MATCH(C165,Ref_Frete!$A$2:$A$54,0),IF(B165="Pequenos",2,IF(B165="Medios",4,6))))</f>
        <v>59.9</v>
      </c>
      <c r="K165" s="13" t="n">
        <f aca="false">IF(OR(B165="",C165=""),"",INDEX(Ref_Frete!$B$2:$G$54,MATCH(C165,Ref_Frete!$A$2:$A$54,0),IF(B165="Pequenos",1,IF(B165="Medios",3,5))))</f>
        <v>89</v>
      </c>
      <c r="L165" s="13" t="n">
        <f aca="false">IF(OR(J165="",K165=""),"",J165-K165)</f>
        <v>-29.1</v>
      </c>
      <c r="M165" s="13" t="n">
        <f aca="false">IF(OR(H165="",F165="",G165=""),"",H165-G165-F165-H165*$B$3+IF(L165="",0,L165))</f>
        <v>193.414</v>
      </c>
      <c r="N165" s="12" t="n">
        <f aca="false">IF(OR(M165="",H165=0,H165=""),"",M165/H165)</f>
        <v>0.211969839773798</v>
      </c>
      <c r="O165" s="22" t="str">
        <f aca="false">IF(N165="","",IF(N165&lt;0,"PREJUÍZO",IF(N165&lt;0.1,"CRÍTICO (&lt;10%)",IF(N165&lt;0.15,"ABAIXO DA META (10-15%)",IF(N165&lt;=0.2,"DENTRO DA META (15-20%)","ACIMA DA META (&gt;20%)")))))</f>
        <v>ACIMA DA META (&gt;20%)</v>
      </c>
      <c r="P165" s="23"/>
    </row>
    <row r="166" customFormat="false" ht="15" hidden="false" customHeight="true" outlineLevel="0" collapsed="false">
      <c r="A166" s="19" t="s">
        <v>159</v>
      </c>
      <c r="B166" s="19" t="s">
        <v>130</v>
      </c>
      <c r="C166" s="19" t="s">
        <v>98</v>
      </c>
      <c r="D166" s="20" t="n">
        <v>912.46</v>
      </c>
      <c r="E166" s="21" t="n">
        <v>0</v>
      </c>
      <c r="F166" s="20" t="n">
        <v>485.02</v>
      </c>
      <c r="G166" s="13" t="n">
        <v>113.68</v>
      </c>
      <c r="H166" s="13" t="n">
        <f aca="false">IF(D166="","",D166*(1-E166))</f>
        <v>912.46</v>
      </c>
      <c r="I166" s="12" t="n">
        <f aca="false">IF(OR(G166="",H166=""),"",G166/H166)</f>
        <v>0.124586283234334</v>
      </c>
      <c r="J166" s="13" t="n">
        <f aca="false">IF(OR(B166="",C166=""),"",INDEX(Ref_Frete!$B$2:$G$54,MATCH(C166,Ref_Frete!$A$2:$A$54,0),IF(B166="Pequenos",2,IF(B166="Medios",4,6))))</f>
        <v>39.9</v>
      </c>
      <c r="K166" s="13" t="n">
        <f aca="false">IF(OR(B166="",C166=""),"",INDEX(Ref_Frete!$B$2:$G$54,MATCH(C166,Ref_Frete!$A$2:$A$54,0),IF(B166="Pequenos",1,IF(B166="Medios",3,5))))</f>
        <v>49</v>
      </c>
      <c r="L166" s="13" t="n">
        <f aca="false">IF(OR(J166="",K166=""),"",J166-K166)</f>
        <v>-9.1</v>
      </c>
      <c r="M166" s="13" t="n">
        <f aca="false">IF(OR(H166="",F166="",G166=""),"",H166-G166-F166-H166*$B$3+IF(L166="",0,L166))</f>
        <v>213.414</v>
      </c>
      <c r="N166" s="12" t="n">
        <f aca="false">IF(OR(M166="",H166=0,H166=""),"",M166/H166)</f>
        <v>0.233888608815729</v>
      </c>
      <c r="O166" s="22" t="str">
        <f aca="false">IF(N166="","",IF(N166&lt;0,"PREJUÍZO",IF(N166&lt;0.1,"CRÍTICO (&lt;10%)",IF(N166&lt;0.15,"ABAIXO DA META (10-15%)",IF(N166&lt;=0.2,"DENTRO DA META (15-20%)","ACIMA DA META (&gt;20%)")))))</f>
        <v>ACIMA DA META (&gt;20%)</v>
      </c>
      <c r="P166" s="23"/>
    </row>
    <row r="167" customFormat="false" ht="15" hidden="true" customHeight="true" outlineLevel="0" collapsed="false">
      <c r="A167" s="19" t="s">
        <v>58</v>
      </c>
      <c r="B167" s="19" t="s">
        <v>130</v>
      </c>
      <c r="C167" s="19" t="s">
        <v>97</v>
      </c>
      <c r="D167" s="20" t="n">
        <v>811.94</v>
      </c>
      <c r="E167" s="21" t="n">
        <v>0</v>
      </c>
      <c r="F167" s="20" t="n">
        <v>411.2</v>
      </c>
      <c r="G167" s="13" t="n">
        <v>101.62</v>
      </c>
      <c r="H167" s="13" t="n">
        <f aca="false">IF(D167="","",D167*(1-E167))</f>
        <v>811.94</v>
      </c>
      <c r="I167" s="12" t="n">
        <f aca="false">IF(OR(G167="",H167=""),"",G167/H167)</f>
        <v>0.125157031307732</v>
      </c>
      <c r="J167" s="13" t="n">
        <f aca="false">IF(OR(B167="",C167=""),"",INDEX(Ref_Frete!$B$2:$G$54,MATCH(C167,Ref_Frete!$A$2:$A$54,0),IF(B167="Pequenos",2,IF(B167="Medios",4,6))))</f>
        <v>59.9</v>
      </c>
      <c r="K167" s="13" t="n">
        <f aca="false">IF(OR(B167="",C167=""),"",INDEX(Ref_Frete!$B$2:$G$54,MATCH(C167,Ref_Frete!$A$2:$A$54,0),IF(B167="Pequenos",1,IF(B167="Medios",3,5))))</f>
        <v>89</v>
      </c>
      <c r="L167" s="13" t="n">
        <f aca="false">IF(OR(J167="",K167=""),"",J167-K167)</f>
        <v>-29.1</v>
      </c>
      <c r="M167" s="13" t="n">
        <f aca="false">IF(OR(H167="",F167="",G167=""),"",H167-G167-F167-H167*$B$3+IF(L167="",0,L167))</f>
        <v>188.826</v>
      </c>
      <c r="N167" s="12" t="n">
        <f aca="false">IF(OR(M167="",H167=0,H167=""),"",M167/H167)</f>
        <v>0.232561519324088</v>
      </c>
      <c r="O167" s="22" t="str">
        <f aca="false">IF(N167="","",IF(N167&lt;0,"PREJUÍZO",IF(N167&lt;0.1,"CRÍTICO (&lt;10%)",IF(N167&lt;0.15,"ABAIXO DA META (10-15%)",IF(N167&lt;=0.2,"DENTRO DA META (15-20%)","ACIMA DA META (&gt;20%)")))))</f>
        <v>ACIMA DA META (&gt;20%)</v>
      </c>
      <c r="P167" s="23"/>
    </row>
    <row r="168" customFormat="false" ht="15" hidden="false" customHeight="true" outlineLevel="0" collapsed="false">
      <c r="A168" s="19" t="s">
        <v>58</v>
      </c>
      <c r="B168" s="19" t="s">
        <v>130</v>
      </c>
      <c r="C168" s="19" t="s">
        <v>98</v>
      </c>
      <c r="D168" s="20" t="n">
        <v>811.94</v>
      </c>
      <c r="E168" s="21" t="n">
        <v>0</v>
      </c>
      <c r="F168" s="20" t="n">
        <v>411.2</v>
      </c>
      <c r="G168" s="13" t="n">
        <v>101.62</v>
      </c>
      <c r="H168" s="13" t="n">
        <f aca="false">IF(D168="","",D168*(1-E168))</f>
        <v>811.94</v>
      </c>
      <c r="I168" s="12" t="n">
        <f aca="false">IF(OR(G168="",H168=""),"",G168/H168)</f>
        <v>0.125157031307732</v>
      </c>
      <c r="J168" s="13" t="n">
        <f aca="false">IF(OR(B168="",C168=""),"",INDEX(Ref_Frete!$B$2:$G$54,MATCH(C168,Ref_Frete!$A$2:$A$54,0),IF(B168="Pequenos",2,IF(B168="Medios",4,6))))</f>
        <v>39.9</v>
      </c>
      <c r="K168" s="13" t="n">
        <f aca="false">IF(OR(B168="",C168=""),"",INDEX(Ref_Frete!$B$2:$G$54,MATCH(C168,Ref_Frete!$A$2:$A$54,0),IF(B168="Pequenos",1,IF(B168="Medios",3,5))))</f>
        <v>49</v>
      </c>
      <c r="L168" s="13" t="n">
        <f aca="false">IF(OR(J168="",K168=""),"",J168-K168)</f>
        <v>-9.1</v>
      </c>
      <c r="M168" s="13" t="n">
        <f aca="false">IF(OR(H168="",F168="",G168=""),"",H168-G168-F168-H168*$B$3+IF(L168="",0,L168))</f>
        <v>208.826</v>
      </c>
      <c r="N168" s="12" t="n">
        <f aca="false">IF(OR(M168="",H168=0,H168=""),"",M168/H168)</f>
        <v>0.25719388132128</v>
      </c>
      <c r="O168" s="22" t="str">
        <f aca="false">IF(N168="","",IF(N168&lt;0,"PREJUÍZO",IF(N168&lt;0.1,"CRÍTICO (&lt;10%)",IF(N168&lt;0.15,"ABAIXO DA META (10-15%)",IF(N168&lt;=0.2,"DENTRO DA META (15-20%)","ACIMA DA META (&gt;20%)")))))</f>
        <v>ACIMA DA META (&gt;20%)</v>
      </c>
      <c r="P168" s="23"/>
    </row>
    <row r="169" customFormat="false" ht="15" hidden="true" customHeight="true" outlineLevel="0" collapsed="false">
      <c r="A169" s="19" t="s">
        <v>160</v>
      </c>
      <c r="B169" s="19" t="s">
        <v>130</v>
      </c>
      <c r="C169" s="19" t="s">
        <v>97</v>
      </c>
      <c r="D169" s="20" t="n">
        <v>988.28</v>
      </c>
      <c r="E169" s="21" t="n">
        <v>0</v>
      </c>
      <c r="F169" s="20" t="n">
        <v>527.41</v>
      </c>
      <c r="G169" s="13" t="n">
        <v>122.78</v>
      </c>
      <c r="H169" s="13" t="n">
        <f aca="false">IF(D169="","",D169*(1-E169))</f>
        <v>988.28</v>
      </c>
      <c r="I169" s="12" t="n">
        <f aca="false">IF(OR(G169="",H169=""),"",G169/H169)</f>
        <v>0.124236046464565</v>
      </c>
      <c r="J169" s="13" t="n">
        <f aca="false">IF(OR(B169="",C169=""),"",INDEX(Ref_Frete!$B$2:$G$54,MATCH(C169,Ref_Frete!$A$2:$A$54,0),IF(B169="Pequenos",2,IF(B169="Medios",4,6))))</f>
        <v>59.9</v>
      </c>
      <c r="K169" s="13" t="n">
        <f aca="false">IF(OR(B169="",C169=""),"",INDEX(Ref_Frete!$B$2:$G$54,MATCH(C169,Ref_Frete!$A$2:$A$54,0),IF(B169="Pequenos",1,IF(B169="Medios",3,5))))</f>
        <v>89</v>
      </c>
      <c r="L169" s="13" t="n">
        <f aca="false">IF(OR(J169="",K169=""),"",J169-K169)</f>
        <v>-29.1</v>
      </c>
      <c r="M169" s="13" t="n">
        <f aca="false">IF(OR(H169="",F169="",G169=""),"",H169-G169-F169-H169*$B$3+IF(L169="",0,L169))</f>
        <v>210.162</v>
      </c>
      <c r="N169" s="12" t="n">
        <f aca="false">IF(OR(M169="",H169=0,H169=""),"",M169/H169)</f>
        <v>0.212654308495568</v>
      </c>
      <c r="O169" s="22" t="str">
        <f aca="false">IF(N169="","",IF(N169&lt;0,"PREJUÍZO",IF(N169&lt;0.1,"CRÍTICO (&lt;10%)",IF(N169&lt;0.15,"ABAIXO DA META (10-15%)",IF(N169&lt;=0.2,"DENTRO DA META (15-20%)","ACIMA DA META (&gt;20%)")))))</f>
        <v>ACIMA DA META (&gt;20%)</v>
      </c>
      <c r="P169" s="23"/>
    </row>
    <row r="170" customFormat="false" ht="15" hidden="false" customHeight="true" outlineLevel="0" collapsed="false">
      <c r="A170" s="19" t="s">
        <v>160</v>
      </c>
      <c r="B170" s="19" t="s">
        <v>130</v>
      </c>
      <c r="C170" s="19" t="s">
        <v>98</v>
      </c>
      <c r="D170" s="20" t="n">
        <v>988.28</v>
      </c>
      <c r="E170" s="21" t="n">
        <v>0</v>
      </c>
      <c r="F170" s="20" t="n">
        <v>527.41</v>
      </c>
      <c r="G170" s="13" t="n">
        <v>122.78</v>
      </c>
      <c r="H170" s="13" t="n">
        <f aca="false">IF(D170="","",D170*(1-E170))</f>
        <v>988.28</v>
      </c>
      <c r="I170" s="12" t="n">
        <f aca="false">IF(OR(G170="",H170=""),"",G170/H170)</f>
        <v>0.124236046464565</v>
      </c>
      <c r="J170" s="13" t="n">
        <f aca="false">IF(OR(B170="",C170=""),"",INDEX(Ref_Frete!$B$2:$G$54,MATCH(C170,Ref_Frete!$A$2:$A$54,0),IF(B170="Pequenos",2,IF(B170="Medios",4,6))))</f>
        <v>39.9</v>
      </c>
      <c r="K170" s="13" t="n">
        <f aca="false">IF(OR(B170="",C170=""),"",INDEX(Ref_Frete!$B$2:$G$54,MATCH(C170,Ref_Frete!$A$2:$A$54,0),IF(B170="Pequenos",1,IF(B170="Medios",3,5))))</f>
        <v>49</v>
      </c>
      <c r="L170" s="13" t="n">
        <f aca="false">IF(OR(J170="",K170=""),"",J170-K170)</f>
        <v>-9.1</v>
      </c>
      <c r="M170" s="13" t="n">
        <f aca="false">IF(OR(H170="",F170="",G170=""),"",H170-G170-F170-H170*$B$3+IF(L170="",0,L170))</f>
        <v>230.162</v>
      </c>
      <c r="N170" s="12" t="n">
        <f aca="false">IF(OR(M170="",H170=0,H170=""),"",M170/H170)</f>
        <v>0.232891488242199</v>
      </c>
      <c r="O170" s="22" t="str">
        <f aca="false">IF(N170="","",IF(N170&lt;0,"PREJUÍZO",IF(N170&lt;0.1,"CRÍTICO (&lt;10%)",IF(N170&lt;0.15,"ABAIXO DA META (10-15%)",IF(N170&lt;=0.2,"DENTRO DA META (15-20%)","ACIMA DA META (&gt;20%)")))))</f>
        <v>ACIMA DA META (&gt;20%)</v>
      </c>
      <c r="P170" s="23"/>
    </row>
    <row r="171" customFormat="false" ht="15" hidden="true" customHeight="true" outlineLevel="0" collapsed="false">
      <c r="A171" s="19" t="s">
        <v>161</v>
      </c>
      <c r="B171" s="19" t="s">
        <v>130</v>
      </c>
      <c r="C171" s="19" t="s">
        <v>97</v>
      </c>
      <c r="D171" s="20" t="n">
        <v>248.75</v>
      </c>
      <c r="E171" s="21" t="n">
        <v>0</v>
      </c>
      <c r="F171" s="20" t="n">
        <v>124.42</v>
      </c>
      <c r="G171" s="13" t="n">
        <v>34.04</v>
      </c>
      <c r="H171" s="13" t="n">
        <f aca="false">IF(D171="","",D171*(1-E171))</f>
        <v>248.75</v>
      </c>
      <c r="I171" s="12" t="n">
        <f aca="false">IF(OR(G171="",H171=""),"",G171/H171)</f>
        <v>0.136844221105528</v>
      </c>
      <c r="J171" s="13" t="n">
        <f aca="false">IF(OR(B171="",C171=""),"",INDEX(Ref_Frete!$B$2:$G$54,MATCH(C171,Ref_Frete!$A$2:$A$54,0),IF(B171="Pequenos",2,IF(B171="Medios",4,6))))</f>
        <v>59.9</v>
      </c>
      <c r="K171" s="13" t="n">
        <f aca="false">IF(OR(B171="",C171=""),"",INDEX(Ref_Frete!$B$2:$G$54,MATCH(C171,Ref_Frete!$A$2:$A$54,0),IF(B171="Pequenos",1,IF(B171="Medios",3,5))))</f>
        <v>89</v>
      </c>
      <c r="L171" s="13" t="n">
        <f aca="false">IF(OR(J171="",K171=""),"",J171-K171)</f>
        <v>-29.1</v>
      </c>
      <c r="M171" s="13" t="n">
        <f aca="false">IF(OR(H171="",F171="",G171=""),"",H171-G171-F171-H171*$B$3+IF(L171="",0,L171))</f>
        <v>36.315</v>
      </c>
      <c r="N171" s="12" t="n">
        <f aca="false">IF(OR(M171="",H171=0,H171=""),"",M171/H171)</f>
        <v>0.145989949748744</v>
      </c>
      <c r="O171" s="22" t="str">
        <f aca="false">IF(N171="","",IF(N171&lt;0,"PREJUÍZO",IF(N171&lt;0.1,"CRÍTICO (&lt;10%)",IF(N171&lt;0.15,"ABAIXO DA META (10-15%)",IF(N171&lt;=0.2,"DENTRO DA META (15-20%)","ACIMA DA META (&gt;20%)")))))</f>
        <v>ABAIXO DA META (10-15%)</v>
      </c>
      <c r="P171" s="23"/>
    </row>
    <row r="172" customFormat="false" ht="15" hidden="false" customHeight="true" outlineLevel="0" collapsed="false">
      <c r="A172" s="19" t="s">
        <v>161</v>
      </c>
      <c r="B172" s="19" t="s">
        <v>130</v>
      </c>
      <c r="C172" s="19" t="s">
        <v>98</v>
      </c>
      <c r="D172" s="20" t="n">
        <v>248.75</v>
      </c>
      <c r="E172" s="21" t="n">
        <v>0</v>
      </c>
      <c r="F172" s="20" t="n">
        <v>124.42</v>
      </c>
      <c r="G172" s="13" t="n">
        <v>34.04</v>
      </c>
      <c r="H172" s="13" t="n">
        <f aca="false">IF(D172="","",D172*(1-E172))</f>
        <v>248.75</v>
      </c>
      <c r="I172" s="12" t="n">
        <f aca="false">IF(OR(G172="",H172=""),"",G172/H172)</f>
        <v>0.136844221105528</v>
      </c>
      <c r="J172" s="13" t="n">
        <f aca="false">IF(OR(B172="",C172=""),"",INDEX(Ref_Frete!$B$2:$G$54,MATCH(C172,Ref_Frete!$A$2:$A$54,0),IF(B172="Pequenos",2,IF(B172="Medios",4,6))))</f>
        <v>39.9</v>
      </c>
      <c r="K172" s="13" t="n">
        <f aca="false">IF(OR(B172="",C172=""),"",INDEX(Ref_Frete!$B$2:$G$54,MATCH(C172,Ref_Frete!$A$2:$A$54,0),IF(B172="Pequenos",1,IF(B172="Medios",3,5))))</f>
        <v>49</v>
      </c>
      <c r="L172" s="13" t="n">
        <f aca="false">IF(OR(J172="",K172=""),"",J172-K172)</f>
        <v>-9.1</v>
      </c>
      <c r="M172" s="13" t="n">
        <f aca="false">IF(OR(H172="",F172="",G172=""),"",H172-G172-F172-H172*$B$3+IF(L172="",0,L172))</f>
        <v>56.315</v>
      </c>
      <c r="N172" s="12" t="n">
        <f aca="false">IF(OR(M172="",H172=0,H172=""),"",M172/H172)</f>
        <v>0.226391959798995</v>
      </c>
      <c r="O172" s="22" t="str">
        <f aca="false">IF(N172="","",IF(N172&lt;0,"PREJUÍZO",IF(N172&lt;0.1,"CRÍTICO (&lt;10%)",IF(N172&lt;0.15,"ABAIXO DA META (10-15%)",IF(N172&lt;=0.2,"DENTRO DA META (15-20%)","ACIMA DA META (&gt;20%)")))))</f>
        <v>ACIMA DA META (&gt;20%)</v>
      </c>
      <c r="P172" s="23"/>
    </row>
    <row r="173" customFormat="false" ht="15" hidden="true" customHeight="true" outlineLevel="0" collapsed="false">
      <c r="A173" s="19" t="s">
        <v>162</v>
      </c>
      <c r="B173" s="19" t="s">
        <v>130</v>
      </c>
      <c r="C173" s="19" t="s">
        <v>97</v>
      </c>
      <c r="D173" s="20" t="n">
        <v>360.6</v>
      </c>
      <c r="E173" s="21" t="n">
        <v>0</v>
      </c>
      <c r="F173" s="20" t="n">
        <v>194.41</v>
      </c>
      <c r="G173" s="13" t="n">
        <v>47.46</v>
      </c>
      <c r="H173" s="13" t="n">
        <f aca="false">IF(D173="","",D173*(1-E173))</f>
        <v>360.6</v>
      </c>
      <c r="I173" s="12" t="n">
        <f aca="false">IF(OR(G173="",H173=""),"",G173/H173)</f>
        <v>0.131613976705491</v>
      </c>
      <c r="J173" s="13" t="n">
        <f aca="false">IF(OR(B173="",C173=""),"",INDEX(Ref_Frete!$B$2:$G$54,MATCH(C173,Ref_Frete!$A$2:$A$54,0),IF(B173="Pequenos",2,IF(B173="Medios",4,6))))</f>
        <v>59.9</v>
      </c>
      <c r="K173" s="13" t="n">
        <f aca="false">IF(OR(B173="",C173=""),"",INDEX(Ref_Frete!$B$2:$G$54,MATCH(C173,Ref_Frete!$A$2:$A$54,0),IF(B173="Pequenos",1,IF(B173="Medios",3,5))))</f>
        <v>89</v>
      </c>
      <c r="L173" s="13" t="n">
        <f aca="false">IF(OR(J173="",K173=""),"",J173-K173)</f>
        <v>-29.1</v>
      </c>
      <c r="M173" s="13" t="n">
        <f aca="false">IF(OR(H173="",F173="",G173=""),"",H173-G173-F173-H173*$B$3+IF(L173="",0,L173))</f>
        <v>53.57</v>
      </c>
      <c r="N173" s="12" t="n">
        <f aca="false">IF(OR(M173="",H173=0,H173=""),"",M173/H173)</f>
        <v>0.148557958957294</v>
      </c>
      <c r="O173" s="22" t="str">
        <f aca="false">IF(N173="","",IF(N173&lt;0,"PREJUÍZO",IF(N173&lt;0.1,"CRÍTICO (&lt;10%)",IF(N173&lt;0.15,"ABAIXO DA META (10-15%)",IF(N173&lt;=0.2,"DENTRO DA META (15-20%)","ACIMA DA META (&gt;20%)")))))</f>
        <v>ABAIXO DA META (10-15%)</v>
      </c>
      <c r="P173" s="23"/>
    </row>
    <row r="174" customFormat="false" ht="15" hidden="false" customHeight="true" outlineLevel="0" collapsed="false">
      <c r="A174" s="19" t="s">
        <v>162</v>
      </c>
      <c r="B174" s="19" t="s">
        <v>130</v>
      </c>
      <c r="C174" s="19" t="s">
        <v>98</v>
      </c>
      <c r="D174" s="20" t="n">
        <v>360.6</v>
      </c>
      <c r="E174" s="21" t="n">
        <v>0</v>
      </c>
      <c r="F174" s="20" t="n">
        <v>194.41</v>
      </c>
      <c r="G174" s="13" t="n">
        <v>47.46</v>
      </c>
      <c r="H174" s="13" t="n">
        <f aca="false">IF(D174="","",D174*(1-E174))</f>
        <v>360.6</v>
      </c>
      <c r="I174" s="12" t="n">
        <f aca="false">IF(OR(G174="",H174=""),"",G174/H174)</f>
        <v>0.131613976705491</v>
      </c>
      <c r="J174" s="13" t="n">
        <f aca="false">IF(OR(B174="",C174=""),"",INDEX(Ref_Frete!$B$2:$G$54,MATCH(C174,Ref_Frete!$A$2:$A$54,0),IF(B174="Pequenos",2,IF(B174="Medios",4,6))))</f>
        <v>39.9</v>
      </c>
      <c r="K174" s="13" t="n">
        <f aca="false">IF(OR(B174="",C174=""),"",INDEX(Ref_Frete!$B$2:$G$54,MATCH(C174,Ref_Frete!$A$2:$A$54,0),IF(B174="Pequenos",1,IF(B174="Medios",3,5))))</f>
        <v>49</v>
      </c>
      <c r="L174" s="13" t="n">
        <f aca="false">IF(OR(J174="",K174=""),"",J174-K174)</f>
        <v>-9.1</v>
      </c>
      <c r="M174" s="13" t="n">
        <f aca="false">IF(OR(H174="",F174="",G174=""),"",H174-G174-F174-H174*$B$3+IF(L174="",0,L174))</f>
        <v>73.5700000000001</v>
      </c>
      <c r="N174" s="12" t="n">
        <f aca="false">IF(OR(M174="",H174=0,H174=""),"",M174/H174)</f>
        <v>0.20402107598447</v>
      </c>
      <c r="O174" s="22" t="str">
        <f aca="false">IF(N174="","",IF(N174&lt;0,"PREJUÍZO",IF(N174&lt;0.1,"CRÍTICO (&lt;10%)",IF(N174&lt;0.15,"ABAIXO DA META (10-15%)",IF(N174&lt;=0.2,"DENTRO DA META (15-20%)","ACIMA DA META (&gt;20%)")))))</f>
        <v>ACIMA DA META (&gt;20%)</v>
      </c>
      <c r="P174" s="23"/>
    </row>
    <row r="175" customFormat="false" ht="15" hidden="true" customHeight="true" outlineLevel="0" collapsed="false">
      <c r="A175" s="19" t="s">
        <v>163</v>
      </c>
      <c r="B175" s="19" t="s">
        <v>130</v>
      </c>
      <c r="C175" s="19" t="s">
        <v>97</v>
      </c>
      <c r="D175" s="20" t="n">
        <v>321.21</v>
      </c>
      <c r="E175" s="21" t="n">
        <v>0</v>
      </c>
      <c r="F175" s="20" t="n">
        <v>170.08</v>
      </c>
      <c r="G175" s="13" t="n">
        <v>42.73</v>
      </c>
      <c r="H175" s="13" t="n">
        <f aca="false">IF(D175="","",D175*(1-E175))</f>
        <v>321.21</v>
      </c>
      <c r="I175" s="12" t="n">
        <f aca="false">IF(OR(G175="",H175=""),"",G175/H175)</f>
        <v>0.133028236978923</v>
      </c>
      <c r="J175" s="13" t="n">
        <f aca="false">IF(OR(B175="",C175=""),"",INDEX(Ref_Frete!$B$2:$G$54,MATCH(C175,Ref_Frete!$A$2:$A$54,0),IF(B175="Pequenos",2,IF(B175="Medios",4,6))))</f>
        <v>59.9</v>
      </c>
      <c r="K175" s="13" t="n">
        <f aca="false">IF(OR(B175="",C175=""),"",INDEX(Ref_Frete!$B$2:$G$54,MATCH(C175,Ref_Frete!$A$2:$A$54,0),IF(B175="Pequenos",1,IF(B175="Medios",3,5))))</f>
        <v>89</v>
      </c>
      <c r="L175" s="13" t="n">
        <f aca="false">IF(OR(J175="",K175=""),"",J175-K175)</f>
        <v>-29.1</v>
      </c>
      <c r="M175" s="13" t="n">
        <f aca="false">IF(OR(H175="",F175="",G175=""),"",H175-G175-F175-H175*$B$3+IF(L175="",0,L175))</f>
        <v>47.1789999999999</v>
      </c>
      <c r="N175" s="12" t="n">
        <f aca="false">IF(OR(M175="",H175=0,H175=""),"",M175/H175)</f>
        <v>0.146878988823511</v>
      </c>
      <c r="O175" s="22" t="str">
        <f aca="false">IF(N175="","",IF(N175&lt;0,"PREJUÍZO",IF(N175&lt;0.1,"CRÍTICO (&lt;10%)",IF(N175&lt;0.15,"ABAIXO DA META (10-15%)",IF(N175&lt;=0.2,"DENTRO DA META (15-20%)","ACIMA DA META (&gt;20%)")))))</f>
        <v>ABAIXO DA META (10-15%)</v>
      </c>
      <c r="P175" s="23"/>
    </row>
    <row r="176" customFormat="false" ht="15" hidden="false" customHeight="true" outlineLevel="0" collapsed="false">
      <c r="A176" s="19" t="s">
        <v>163</v>
      </c>
      <c r="B176" s="19" t="s">
        <v>130</v>
      </c>
      <c r="C176" s="19" t="s">
        <v>98</v>
      </c>
      <c r="D176" s="20" t="n">
        <v>321.21</v>
      </c>
      <c r="E176" s="21" t="n">
        <v>0</v>
      </c>
      <c r="F176" s="20" t="n">
        <v>170.08</v>
      </c>
      <c r="G176" s="13" t="n">
        <v>42.73</v>
      </c>
      <c r="H176" s="13" t="n">
        <f aca="false">IF(D176="","",D176*(1-E176))</f>
        <v>321.21</v>
      </c>
      <c r="I176" s="12" t="n">
        <f aca="false">IF(OR(G176="",H176=""),"",G176/H176)</f>
        <v>0.133028236978923</v>
      </c>
      <c r="J176" s="13" t="n">
        <f aca="false">IF(OR(B176="",C176=""),"",INDEX(Ref_Frete!$B$2:$G$54,MATCH(C176,Ref_Frete!$A$2:$A$54,0),IF(B176="Pequenos",2,IF(B176="Medios",4,6))))</f>
        <v>39.9</v>
      </c>
      <c r="K176" s="13" t="n">
        <f aca="false">IF(OR(B176="",C176=""),"",INDEX(Ref_Frete!$B$2:$G$54,MATCH(C176,Ref_Frete!$A$2:$A$54,0),IF(B176="Pequenos",1,IF(B176="Medios",3,5))))</f>
        <v>49</v>
      </c>
      <c r="L176" s="13" t="n">
        <f aca="false">IF(OR(J176="",K176=""),"",J176-K176)</f>
        <v>-9.1</v>
      </c>
      <c r="M176" s="13" t="n">
        <f aca="false">IF(OR(H176="",F176="",G176=""),"",H176-G176-F176-H176*$B$3+IF(L176="",0,L176))</f>
        <v>67.179</v>
      </c>
      <c r="N176" s="12" t="n">
        <f aca="false">IF(OR(M176="",H176=0,H176=""),"",M176/H176)</f>
        <v>0.209143550947978</v>
      </c>
      <c r="O176" s="22" t="str">
        <f aca="false">IF(N176="","",IF(N176&lt;0,"PREJUÍZO",IF(N176&lt;0.1,"CRÍTICO (&lt;10%)",IF(N176&lt;0.15,"ABAIXO DA META (10-15%)",IF(N176&lt;=0.2,"DENTRO DA META (15-20%)","ACIMA DA META (&gt;20%)")))))</f>
        <v>ACIMA DA META (&gt;20%)</v>
      </c>
      <c r="P176" s="23"/>
    </row>
    <row r="177" customFormat="false" ht="15" hidden="true" customHeight="true" outlineLevel="0" collapsed="false">
      <c r="A177" s="19" t="s">
        <v>164</v>
      </c>
      <c r="B177" s="19" t="s">
        <v>130</v>
      </c>
      <c r="C177" s="19" t="s">
        <v>97</v>
      </c>
      <c r="D177" s="20" t="n">
        <v>451.17</v>
      </c>
      <c r="E177" s="21" t="n">
        <v>0</v>
      </c>
      <c r="F177" s="20" t="n">
        <v>232.51</v>
      </c>
      <c r="G177" s="13" t="n">
        <v>58.33</v>
      </c>
      <c r="H177" s="13" t="n">
        <f aca="false">IF(D177="","",D177*(1-E177))</f>
        <v>451.17</v>
      </c>
      <c r="I177" s="12" t="n">
        <f aca="false">IF(OR(G177="",H177=""),"",G177/H177)</f>
        <v>0.129286078418335</v>
      </c>
      <c r="J177" s="13" t="n">
        <f aca="false">IF(OR(B177="",C177=""),"",INDEX(Ref_Frete!$B$2:$G$54,MATCH(C177,Ref_Frete!$A$2:$A$54,0),IF(B177="Pequenos",2,IF(B177="Medios",4,6))))</f>
        <v>59.9</v>
      </c>
      <c r="K177" s="13" t="n">
        <f aca="false">IF(OR(B177="",C177=""),"",INDEX(Ref_Frete!$B$2:$G$54,MATCH(C177,Ref_Frete!$A$2:$A$54,0),IF(B177="Pequenos",1,IF(B177="Medios",3,5))))</f>
        <v>89</v>
      </c>
      <c r="L177" s="13" t="n">
        <f aca="false">IF(OR(J177="",K177=""),"",J177-K177)</f>
        <v>-29.1</v>
      </c>
      <c r="M177" s="13" t="n">
        <f aca="false">IF(OR(H177="",F177="",G177=""),"",H177-G177-F177-H177*$B$3+IF(L177="",0,L177))</f>
        <v>86.113</v>
      </c>
      <c r="N177" s="12" t="n">
        <f aca="false">IF(OR(M177="",H177=0,H177=""),"",M177/H177)</f>
        <v>0.190865970698406</v>
      </c>
      <c r="O177" s="22" t="str">
        <f aca="false">IF(N177="","",IF(N177&lt;0,"PREJUÍZO",IF(N177&lt;0.1,"CRÍTICO (&lt;10%)",IF(N177&lt;0.15,"ABAIXO DA META (10-15%)",IF(N177&lt;=0.2,"DENTRO DA META (15-20%)","ACIMA DA META (&gt;20%)")))))</f>
        <v>DENTRO DA META (15-20%)</v>
      </c>
      <c r="P177" s="23"/>
    </row>
    <row r="178" customFormat="false" ht="15" hidden="false" customHeight="true" outlineLevel="0" collapsed="false">
      <c r="A178" s="19" t="s">
        <v>164</v>
      </c>
      <c r="B178" s="19" t="s">
        <v>130</v>
      </c>
      <c r="C178" s="19" t="s">
        <v>98</v>
      </c>
      <c r="D178" s="20" t="n">
        <v>451.17</v>
      </c>
      <c r="E178" s="21" t="n">
        <v>0</v>
      </c>
      <c r="F178" s="20" t="n">
        <v>232.51</v>
      </c>
      <c r="G178" s="13" t="n">
        <v>58.33</v>
      </c>
      <c r="H178" s="13" t="n">
        <f aca="false">IF(D178="","",D178*(1-E178))</f>
        <v>451.17</v>
      </c>
      <c r="I178" s="12" t="n">
        <f aca="false">IF(OR(G178="",H178=""),"",G178/H178)</f>
        <v>0.129286078418335</v>
      </c>
      <c r="J178" s="13" t="n">
        <f aca="false">IF(OR(B178="",C178=""),"",INDEX(Ref_Frete!$B$2:$G$54,MATCH(C178,Ref_Frete!$A$2:$A$54,0),IF(B178="Pequenos",2,IF(B178="Medios",4,6))))</f>
        <v>39.9</v>
      </c>
      <c r="K178" s="13" t="n">
        <f aca="false">IF(OR(B178="",C178=""),"",INDEX(Ref_Frete!$B$2:$G$54,MATCH(C178,Ref_Frete!$A$2:$A$54,0),IF(B178="Pequenos",1,IF(B178="Medios",3,5))))</f>
        <v>49</v>
      </c>
      <c r="L178" s="13" t="n">
        <f aca="false">IF(OR(J178="",K178=""),"",J178-K178)</f>
        <v>-9.1</v>
      </c>
      <c r="M178" s="13" t="n">
        <f aca="false">IF(OR(H178="",F178="",G178=""),"",H178-G178-F178-H178*$B$3+IF(L178="",0,L178))</f>
        <v>106.113</v>
      </c>
      <c r="N178" s="12" t="n">
        <f aca="false">IF(OR(M178="",H178=0,H178=""),"",M178/H178)</f>
        <v>0.23519515925261</v>
      </c>
      <c r="O178" s="22" t="str">
        <f aca="false">IF(N178="","",IF(N178&lt;0,"PREJUÍZO",IF(N178&lt;0.1,"CRÍTICO (&lt;10%)",IF(N178&lt;0.15,"ABAIXO DA META (10-15%)",IF(N178&lt;=0.2,"DENTRO DA META (15-20%)","ACIMA DA META (&gt;20%)")))))</f>
        <v>ACIMA DA META (&gt;20%)</v>
      </c>
      <c r="P178" s="23"/>
    </row>
    <row r="179" customFormat="false" ht="15" hidden="true" customHeight="true" outlineLevel="0" collapsed="false">
      <c r="A179" s="19" t="s">
        <v>60</v>
      </c>
      <c r="B179" s="19" t="s">
        <v>130</v>
      </c>
      <c r="C179" s="19" t="s">
        <v>97</v>
      </c>
      <c r="D179" s="20" t="n">
        <v>460.12</v>
      </c>
      <c r="E179" s="21" t="n">
        <v>0</v>
      </c>
      <c r="F179" s="20" t="n">
        <v>228.9</v>
      </c>
      <c r="G179" s="13" t="n">
        <v>59.4</v>
      </c>
      <c r="H179" s="13" t="n">
        <f aca="false">IF(D179="","",D179*(1-E179))</f>
        <v>460.12</v>
      </c>
      <c r="I179" s="12" t="n">
        <f aca="false">IF(OR(G179="",H179=""),"",G179/H179)</f>
        <v>0.129096757367643</v>
      </c>
      <c r="J179" s="13" t="n">
        <f aca="false">IF(OR(B179="",C179=""),"",INDEX(Ref_Frete!$B$2:$G$54,MATCH(C179,Ref_Frete!$A$2:$A$54,0),IF(B179="Pequenos",2,IF(B179="Medios",4,6))))</f>
        <v>59.9</v>
      </c>
      <c r="K179" s="13" t="n">
        <f aca="false">IF(OR(B179="",C179=""),"",INDEX(Ref_Frete!$B$2:$G$54,MATCH(C179,Ref_Frete!$A$2:$A$54,0),IF(B179="Pequenos",1,IF(B179="Medios",3,5))))</f>
        <v>89</v>
      </c>
      <c r="L179" s="13" t="n">
        <f aca="false">IF(OR(J179="",K179=""),"",J179-K179)</f>
        <v>-29.1</v>
      </c>
      <c r="M179" s="13" t="n">
        <f aca="false">IF(OR(H179="",F179="",G179=""),"",H179-G179-F179-H179*$B$3+IF(L179="",0,L179))</f>
        <v>96.708</v>
      </c>
      <c r="N179" s="12" t="n">
        <f aca="false">IF(OR(M179="",H179=0,H179=""),"",M179/H179)</f>
        <v>0.210179953055725</v>
      </c>
      <c r="O179" s="22" t="str">
        <f aca="false">IF(N179="","",IF(N179&lt;0,"PREJUÍZO",IF(N179&lt;0.1,"CRÍTICO (&lt;10%)",IF(N179&lt;0.15,"ABAIXO DA META (10-15%)",IF(N179&lt;=0.2,"DENTRO DA META (15-20%)","ACIMA DA META (&gt;20%)")))))</f>
        <v>ACIMA DA META (&gt;20%)</v>
      </c>
      <c r="P179" s="23"/>
    </row>
    <row r="180" customFormat="false" ht="15" hidden="false" customHeight="true" outlineLevel="0" collapsed="false">
      <c r="A180" s="19" t="s">
        <v>60</v>
      </c>
      <c r="B180" s="19" t="s">
        <v>130</v>
      </c>
      <c r="C180" s="19" t="s">
        <v>98</v>
      </c>
      <c r="D180" s="20" t="n">
        <v>460.12</v>
      </c>
      <c r="E180" s="21" t="n">
        <v>0</v>
      </c>
      <c r="F180" s="20" t="n">
        <v>228.9</v>
      </c>
      <c r="G180" s="13" t="n">
        <v>59.4</v>
      </c>
      <c r="H180" s="13" t="n">
        <f aca="false">IF(D180="","",D180*(1-E180))</f>
        <v>460.12</v>
      </c>
      <c r="I180" s="12" t="n">
        <f aca="false">IF(OR(G180="",H180=""),"",G180/H180)</f>
        <v>0.129096757367643</v>
      </c>
      <c r="J180" s="13" t="n">
        <f aca="false">IF(OR(B180="",C180=""),"",INDEX(Ref_Frete!$B$2:$G$54,MATCH(C180,Ref_Frete!$A$2:$A$54,0),IF(B180="Pequenos",2,IF(B180="Medios",4,6))))</f>
        <v>39.9</v>
      </c>
      <c r="K180" s="13" t="n">
        <f aca="false">IF(OR(B180="",C180=""),"",INDEX(Ref_Frete!$B$2:$G$54,MATCH(C180,Ref_Frete!$A$2:$A$54,0),IF(B180="Pequenos",1,IF(B180="Medios",3,5))))</f>
        <v>49</v>
      </c>
      <c r="L180" s="13" t="n">
        <f aca="false">IF(OR(J180="",K180=""),"",J180-K180)</f>
        <v>-9.1</v>
      </c>
      <c r="M180" s="13" t="n">
        <f aca="false">IF(OR(H180="",F180="",G180=""),"",H180-G180-F180-H180*$B$3+IF(L180="",0,L180))</f>
        <v>116.708</v>
      </c>
      <c r="N180" s="12" t="n">
        <f aca="false">IF(OR(M180="",H180=0,H180=""),"",M180/H180)</f>
        <v>0.253646874728332</v>
      </c>
      <c r="O180" s="22" t="str">
        <f aca="false">IF(N180="","",IF(N180&lt;0,"PREJUÍZO",IF(N180&lt;0.1,"CRÍTICO (&lt;10%)",IF(N180&lt;0.15,"ABAIXO DA META (10-15%)",IF(N180&lt;=0.2,"DENTRO DA META (15-20%)","ACIMA DA META (&gt;20%)")))))</f>
        <v>ACIMA DA META (&gt;20%)</v>
      </c>
      <c r="P180" s="23"/>
    </row>
    <row r="181" customFormat="false" ht="15" hidden="true" customHeight="true" outlineLevel="0" collapsed="false">
      <c r="A181" s="19" t="s">
        <v>165</v>
      </c>
      <c r="B181" s="19" t="s">
        <v>130</v>
      </c>
      <c r="C181" s="19" t="s">
        <v>97</v>
      </c>
      <c r="D181" s="20" t="n">
        <v>721.69</v>
      </c>
      <c r="E181" s="21" t="n">
        <v>0</v>
      </c>
      <c r="F181" s="20" t="n">
        <v>408.87</v>
      </c>
      <c r="G181" s="13" t="n">
        <v>90.8</v>
      </c>
      <c r="H181" s="13" t="n">
        <f aca="false">IF(D181="","",D181*(1-E181))</f>
        <v>721.69</v>
      </c>
      <c r="I181" s="12" t="n">
        <f aca="false">IF(OR(G181="",H181=""),"",G181/H181)</f>
        <v>0.125815793484737</v>
      </c>
      <c r="J181" s="13" t="n">
        <f aca="false">IF(OR(B181="",C181=""),"",INDEX(Ref_Frete!$B$2:$G$54,MATCH(C181,Ref_Frete!$A$2:$A$54,0),IF(B181="Pequenos",2,IF(B181="Medios",4,6))))</f>
        <v>59.9</v>
      </c>
      <c r="K181" s="13" t="n">
        <f aca="false">IF(OR(B181="",C181=""),"",INDEX(Ref_Frete!$B$2:$G$54,MATCH(C181,Ref_Frete!$A$2:$A$54,0),IF(B181="Pequenos",1,IF(B181="Medios",3,5))))</f>
        <v>89</v>
      </c>
      <c r="L181" s="13" t="n">
        <f aca="false">IF(OR(J181="",K181=""),"",J181-K181)</f>
        <v>-29.1</v>
      </c>
      <c r="M181" s="13" t="n">
        <f aca="false">IF(OR(H181="",F181="",G181=""),"",H181-G181-F181-H181*$B$3+IF(L181="",0,L181))</f>
        <v>120.751</v>
      </c>
      <c r="N181" s="12" t="n">
        <f aca="false">IF(OR(M181="",H181=0,H181=""),"",M181/H181)</f>
        <v>0.167316992060303</v>
      </c>
      <c r="O181" s="22" t="str">
        <f aca="false">IF(N181="","",IF(N181&lt;0,"PREJUÍZO",IF(N181&lt;0.1,"CRÍTICO (&lt;10%)",IF(N181&lt;0.15,"ABAIXO DA META (10-15%)",IF(N181&lt;=0.2,"DENTRO DA META (15-20%)","ACIMA DA META (&gt;20%)")))))</f>
        <v>DENTRO DA META (15-20%)</v>
      </c>
      <c r="P181" s="23" t="s">
        <v>166</v>
      </c>
    </row>
    <row r="182" customFormat="false" ht="15" hidden="false" customHeight="true" outlineLevel="0" collapsed="false">
      <c r="A182" s="19" t="s">
        <v>165</v>
      </c>
      <c r="B182" s="19" t="s">
        <v>130</v>
      </c>
      <c r="C182" s="19" t="s">
        <v>98</v>
      </c>
      <c r="D182" s="20" t="n">
        <v>721.69</v>
      </c>
      <c r="E182" s="21" t="n">
        <v>0</v>
      </c>
      <c r="F182" s="20" t="n">
        <v>408.87</v>
      </c>
      <c r="G182" s="13" t="n">
        <v>90.8</v>
      </c>
      <c r="H182" s="13" t="n">
        <f aca="false">IF(D182="","",D182*(1-E182))</f>
        <v>721.69</v>
      </c>
      <c r="I182" s="12" t="n">
        <f aca="false">IF(OR(G182="",H182=""),"",G182/H182)</f>
        <v>0.125815793484737</v>
      </c>
      <c r="J182" s="13" t="n">
        <f aca="false">IF(OR(B182="",C182=""),"",INDEX(Ref_Frete!$B$2:$G$54,MATCH(C182,Ref_Frete!$A$2:$A$54,0),IF(B182="Pequenos",2,IF(B182="Medios",4,6))))</f>
        <v>39.9</v>
      </c>
      <c r="K182" s="13" t="n">
        <f aca="false">IF(OR(B182="",C182=""),"",INDEX(Ref_Frete!$B$2:$G$54,MATCH(C182,Ref_Frete!$A$2:$A$54,0),IF(B182="Pequenos",1,IF(B182="Medios",3,5))))</f>
        <v>49</v>
      </c>
      <c r="L182" s="13" t="n">
        <f aca="false">IF(OR(J182="",K182=""),"",J182-K182)</f>
        <v>-9.1</v>
      </c>
      <c r="M182" s="13" t="n">
        <f aca="false">IF(OR(H182="",F182="",G182=""),"",H182-G182-F182-H182*$B$3+IF(L182="",0,L182))</f>
        <v>140.751</v>
      </c>
      <c r="N182" s="12" t="n">
        <f aca="false">IF(OR(M182="",H182=0,H182=""),"",M182/H182)</f>
        <v>0.195029721902756</v>
      </c>
      <c r="O182" s="22" t="str">
        <f aca="false">IF(N182="","",IF(N182&lt;0,"PREJUÍZO",IF(N182&lt;0.1,"CRÍTICO (&lt;10%)",IF(N182&lt;0.15,"ABAIXO DA META (10-15%)",IF(N182&lt;=0.2,"DENTRO DA META (15-20%)","ACIMA DA META (&gt;20%)")))))</f>
        <v>DENTRO DA META (15-20%)</v>
      </c>
      <c r="P182" s="23" t="s">
        <v>166</v>
      </c>
    </row>
    <row r="183" customFormat="false" ht="15" hidden="true" customHeight="true" outlineLevel="0" collapsed="false">
      <c r="A183" s="19" t="s">
        <v>167</v>
      </c>
      <c r="B183" s="19" t="s">
        <v>130</v>
      </c>
      <c r="C183" s="19" t="s">
        <v>97</v>
      </c>
      <c r="D183" s="20" t="n">
        <v>349.45</v>
      </c>
      <c r="E183" s="21" t="n">
        <v>0</v>
      </c>
      <c r="F183" s="20" t="n">
        <v>183.04</v>
      </c>
      <c r="G183" s="13" t="n">
        <v>46.12</v>
      </c>
      <c r="H183" s="13" t="n">
        <f aca="false">IF(D183="","",D183*(1-E183))</f>
        <v>349.45</v>
      </c>
      <c r="I183" s="12" t="n">
        <f aca="false">IF(OR(G183="",H183=""),"",G183/H183)</f>
        <v>0.131978823866075</v>
      </c>
      <c r="J183" s="13" t="n">
        <f aca="false">IF(OR(B183="",C183=""),"",INDEX(Ref_Frete!$B$2:$G$54,MATCH(C183,Ref_Frete!$A$2:$A$54,0),IF(B183="Pequenos",2,IF(B183="Medios",4,6))))</f>
        <v>59.9</v>
      </c>
      <c r="K183" s="13" t="n">
        <f aca="false">IF(OR(B183="",C183=""),"",INDEX(Ref_Frete!$B$2:$G$54,MATCH(C183,Ref_Frete!$A$2:$A$54,0),IF(B183="Pequenos",1,IF(B183="Medios",3,5))))</f>
        <v>89</v>
      </c>
      <c r="L183" s="13" t="n">
        <f aca="false">IF(OR(J183="",K183=""),"",J183-K183)</f>
        <v>-29.1</v>
      </c>
      <c r="M183" s="13" t="n">
        <f aca="false">IF(OR(H183="",F183="",G183=""),"",H183-G183-F183-H183*$B$3+IF(L183="",0,L183))</f>
        <v>56.245</v>
      </c>
      <c r="N183" s="12" t="n">
        <f aca="false">IF(OR(M183="",H183=0,H183=""),"",M183/H183)</f>
        <v>0.160952926026613</v>
      </c>
      <c r="O183" s="22" t="str">
        <f aca="false">IF(N183="","",IF(N183&lt;0,"PREJUÍZO",IF(N183&lt;0.1,"CRÍTICO (&lt;10%)",IF(N183&lt;0.15,"ABAIXO DA META (10-15%)",IF(N183&lt;=0.2,"DENTRO DA META (15-20%)","ACIMA DA META (&gt;20%)")))))</f>
        <v>DENTRO DA META (15-20%)</v>
      </c>
      <c r="P183" s="23"/>
    </row>
    <row r="184" customFormat="false" ht="15" hidden="false" customHeight="true" outlineLevel="0" collapsed="false">
      <c r="A184" s="19" t="s">
        <v>167</v>
      </c>
      <c r="B184" s="19" t="s">
        <v>130</v>
      </c>
      <c r="C184" s="19" t="s">
        <v>98</v>
      </c>
      <c r="D184" s="20" t="n">
        <v>349.45</v>
      </c>
      <c r="E184" s="21" t="n">
        <v>0</v>
      </c>
      <c r="F184" s="20" t="n">
        <v>183.04</v>
      </c>
      <c r="G184" s="13" t="n">
        <v>46.12</v>
      </c>
      <c r="H184" s="13" t="n">
        <f aca="false">IF(D184="","",D184*(1-E184))</f>
        <v>349.45</v>
      </c>
      <c r="I184" s="12" t="n">
        <f aca="false">IF(OR(G184="",H184=""),"",G184/H184)</f>
        <v>0.131978823866075</v>
      </c>
      <c r="J184" s="13" t="n">
        <f aca="false">IF(OR(B184="",C184=""),"",INDEX(Ref_Frete!$B$2:$G$54,MATCH(C184,Ref_Frete!$A$2:$A$54,0),IF(B184="Pequenos",2,IF(B184="Medios",4,6))))</f>
        <v>39.9</v>
      </c>
      <c r="K184" s="13" t="n">
        <f aca="false">IF(OR(B184="",C184=""),"",INDEX(Ref_Frete!$B$2:$G$54,MATCH(C184,Ref_Frete!$A$2:$A$54,0),IF(B184="Pequenos",1,IF(B184="Medios",3,5))))</f>
        <v>49</v>
      </c>
      <c r="L184" s="13" t="n">
        <f aca="false">IF(OR(J184="",K184=""),"",J184-K184)</f>
        <v>-9.1</v>
      </c>
      <c r="M184" s="13" t="n">
        <f aca="false">IF(OR(H184="",F184="",G184=""),"",H184-G184-F184-H184*$B$3+IF(L184="",0,L184))</f>
        <v>76.245</v>
      </c>
      <c r="N184" s="12" t="n">
        <f aca="false">IF(OR(M184="",H184=0,H184=""),"",M184/H184)</f>
        <v>0.218185720417799</v>
      </c>
      <c r="O184" s="22" t="str">
        <f aca="false">IF(N184="","",IF(N184&lt;0,"PREJUÍZO",IF(N184&lt;0.1,"CRÍTICO (&lt;10%)",IF(N184&lt;0.15,"ABAIXO DA META (10-15%)",IF(N184&lt;=0.2,"DENTRO DA META (15-20%)","ACIMA DA META (&gt;20%)")))))</f>
        <v>ACIMA DA META (&gt;20%)</v>
      </c>
      <c r="P184" s="23"/>
    </row>
    <row r="185" customFormat="false" ht="15" hidden="true" customHeight="true" outlineLevel="0" collapsed="false">
      <c r="A185" s="19" t="s">
        <v>168</v>
      </c>
      <c r="B185" s="19" t="s">
        <v>130</v>
      </c>
      <c r="C185" s="19" t="s">
        <v>97</v>
      </c>
      <c r="D185" s="20" t="n">
        <v>360.97</v>
      </c>
      <c r="E185" s="21" t="n">
        <v>0</v>
      </c>
      <c r="F185" s="20" t="n">
        <v>198.38</v>
      </c>
      <c r="G185" s="13" t="n">
        <v>47.5</v>
      </c>
      <c r="H185" s="13" t="n">
        <f aca="false">IF(D185="","",D185*(1-E185))</f>
        <v>360.97</v>
      </c>
      <c r="I185" s="12" t="n">
        <f aca="false">IF(OR(G185="",H185=""),"",G185/H185)</f>
        <v>0.131589882815746</v>
      </c>
      <c r="J185" s="13" t="n">
        <f aca="false">IF(OR(B185="",C185=""),"",INDEX(Ref_Frete!$B$2:$G$54,MATCH(C185,Ref_Frete!$A$2:$A$54,0),IF(B185="Pequenos",2,IF(B185="Medios",4,6))))</f>
        <v>59.9</v>
      </c>
      <c r="K185" s="13" t="n">
        <f aca="false">IF(OR(B185="",C185=""),"",INDEX(Ref_Frete!$B$2:$G$54,MATCH(C185,Ref_Frete!$A$2:$A$54,0),IF(B185="Pequenos",1,IF(B185="Medios",3,5))))</f>
        <v>89</v>
      </c>
      <c r="L185" s="13" t="n">
        <f aca="false">IF(OR(J185="",K185=""),"",J185-K185)</f>
        <v>-29.1</v>
      </c>
      <c r="M185" s="13" t="n">
        <f aca="false">IF(OR(H185="",F185="",G185=""),"",H185-G185-F185-H185*$B$3+IF(L185="",0,L185))</f>
        <v>49.893</v>
      </c>
      <c r="N185" s="12" t="n">
        <f aca="false">IF(OR(M185="",H185=0,H185=""),"",M185/H185)</f>
        <v>0.138219242596338</v>
      </c>
      <c r="O185" s="22" t="str">
        <f aca="false">IF(N185="","",IF(N185&lt;0,"PREJUÍZO",IF(N185&lt;0.1,"CRÍTICO (&lt;10%)",IF(N185&lt;0.15,"ABAIXO DA META (10-15%)",IF(N185&lt;=0.2,"DENTRO DA META (15-20%)","ACIMA DA META (&gt;20%)")))))</f>
        <v>ABAIXO DA META (10-15%)</v>
      </c>
      <c r="P185" s="23"/>
    </row>
    <row r="186" customFormat="false" ht="15" hidden="false" customHeight="true" outlineLevel="0" collapsed="false">
      <c r="A186" s="19" t="s">
        <v>168</v>
      </c>
      <c r="B186" s="19" t="s">
        <v>130</v>
      </c>
      <c r="C186" s="19" t="s">
        <v>98</v>
      </c>
      <c r="D186" s="20" t="n">
        <v>360.97</v>
      </c>
      <c r="E186" s="21" t="n">
        <v>0</v>
      </c>
      <c r="F186" s="20" t="n">
        <v>198.38</v>
      </c>
      <c r="G186" s="13" t="n">
        <v>47.5</v>
      </c>
      <c r="H186" s="13" t="n">
        <f aca="false">IF(D186="","",D186*(1-E186))</f>
        <v>360.97</v>
      </c>
      <c r="I186" s="12" t="n">
        <f aca="false">IF(OR(G186="",H186=""),"",G186/H186)</f>
        <v>0.131589882815746</v>
      </c>
      <c r="J186" s="13" t="n">
        <f aca="false">IF(OR(B186="",C186=""),"",INDEX(Ref_Frete!$B$2:$G$54,MATCH(C186,Ref_Frete!$A$2:$A$54,0),IF(B186="Pequenos",2,IF(B186="Medios",4,6))))</f>
        <v>39.9</v>
      </c>
      <c r="K186" s="13" t="n">
        <f aca="false">IF(OR(B186="",C186=""),"",INDEX(Ref_Frete!$B$2:$G$54,MATCH(C186,Ref_Frete!$A$2:$A$54,0),IF(B186="Pequenos",1,IF(B186="Medios",3,5))))</f>
        <v>49</v>
      </c>
      <c r="L186" s="13" t="n">
        <f aca="false">IF(OR(J186="",K186=""),"",J186-K186)</f>
        <v>-9.1</v>
      </c>
      <c r="M186" s="13" t="n">
        <f aca="false">IF(OR(H186="",F186="",G186=""),"",H186-G186-F186-H186*$B$3+IF(L186="",0,L186))</f>
        <v>69.893</v>
      </c>
      <c r="N186" s="12" t="n">
        <f aca="false">IF(OR(M186="",H186=0,H186=""),"",M186/H186)</f>
        <v>0.193625509045073</v>
      </c>
      <c r="O186" s="22" t="str">
        <f aca="false">IF(N186="","",IF(N186&lt;0,"PREJUÍZO",IF(N186&lt;0.1,"CRÍTICO (&lt;10%)",IF(N186&lt;0.15,"ABAIXO DA META (10-15%)",IF(N186&lt;=0.2,"DENTRO DA META (15-20%)","ACIMA DA META (&gt;20%)")))))</f>
        <v>DENTRO DA META (15-20%)</v>
      </c>
      <c r="P186" s="23"/>
    </row>
    <row r="187" customFormat="false" ht="15" hidden="true" customHeight="true" outlineLevel="0" collapsed="false">
      <c r="A187" s="19" t="s">
        <v>53</v>
      </c>
      <c r="B187" s="19" t="s">
        <v>130</v>
      </c>
      <c r="C187" s="19" t="s">
        <v>97</v>
      </c>
      <c r="D187" s="20" t="n">
        <v>580.52</v>
      </c>
      <c r="E187" s="21" t="n">
        <v>0</v>
      </c>
      <c r="F187" s="20" t="n">
        <v>277.75</v>
      </c>
      <c r="G187" s="13" t="n">
        <v>73.85</v>
      </c>
      <c r="H187" s="13" t="n">
        <f aca="false">IF(D187="","",D187*(1-E187))</f>
        <v>580.52</v>
      </c>
      <c r="I187" s="12" t="n">
        <f aca="false">IF(OR(G187="",H187=""),"",G187/H187)</f>
        <v>0.127213532694825</v>
      </c>
      <c r="J187" s="13" t="n">
        <f aca="false">IF(OR(B187="",C187=""),"",INDEX(Ref_Frete!$B$2:$G$54,MATCH(C187,Ref_Frete!$A$2:$A$54,0),IF(B187="Pequenos",2,IF(B187="Medios",4,6))))</f>
        <v>59.9</v>
      </c>
      <c r="K187" s="13" t="n">
        <f aca="false">IF(OR(B187="",C187=""),"",INDEX(Ref_Frete!$B$2:$G$54,MATCH(C187,Ref_Frete!$A$2:$A$54,0),IF(B187="Pequenos",1,IF(B187="Medios",3,5))))</f>
        <v>89</v>
      </c>
      <c r="L187" s="13" t="n">
        <f aca="false">IF(OR(J187="",K187=""),"",J187-K187)</f>
        <v>-29.1</v>
      </c>
      <c r="M187" s="13" t="n">
        <f aca="false">IF(OR(H187="",F187="",G187=""),"",H187-G187-F187-H187*$B$3+IF(L187="",0,L187))</f>
        <v>141.768</v>
      </c>
      <c r="N187" s="12" t="n">
        <f aca="false">IF(OR(M187="",H187=0,H187=""),"",M187/H187)</f>
        <v>0.244208640529181</v>
      </c>
      <c r="O187" s="22" t="str">
        <f aca="false">IF(N187="","",IF(N187&lt;0,"PREJUÍZO",IF(N187&lt;0.1,"CRÍTICO (&lt;10%)",IF(N187&lt;0.15,"ABAIXO DA META (10-15%)",IF(N187&lt;=0.2,"DENTRO DA META (15-20%)","ACIMA DA META (&gt;20%)")))))</f>
        <v>ACIMA DA META (&gt;20%)</v>
      </c>
      <c r="P187" s="23"/>
    </row>
    <row r="188" customFormat="false" ht="15" hidden="false" customHeight="true" outlineLevel="0" collapsed="false">
      <c r="A188" s="19" t="s">
        <v>53</v>
      </c>
      <c r="B188" s="19" t="s">
        <v>130</v>
      </c>
      <c r="C188" s="19" t="s">
        <v>98</v>
      </c>
      <c r="D188" s="20" t="n">
        <v>580.52</v>
      </c>
      <c r="E188" s="21" t="n">
        <v>0</v>
      </c>
      <c r="F188" s="20" t="n">
        <v>277.75</v>
      </c>
      <c r="G188" s="13" t="n">
        <v>73.85</v>
      </c>
      <c r="H188" s="13" t="n">
        <f aca="false">IF(D188="","",D188*(1-E188))</f>
        <v>580.52</v>
      </c>
      <c r="I188" s="12" t="n">
        <f aca="false">IF(OR(G188="",H188=""),"",G188/H188)</f>
        <v>0.127213532694825</v>
      </c>
      <c r="J188" s="13" t="n">
        <f aca="false">IF(OR(B188="",C188=""),"",INDEX(Ref_Frete!$B$2:$G$54,MATCH(C188,Ref_Frete!$A$2:$A$54,0),IF(B188="Pequenos",2,IF(B188="Medios",4,6))))</f>
        <v>39.9</v>
      </c>
      <c r="K188" s="13" t="n">
        <f aca="false">IF(OR(B188="",C188=""),"",INDEX(Ref_Frete!$B$2:$G$54,MATCH(C188,Ref_Frete!$A$2:$A$54,0),IF(B188="Pequenos",1,IF(B188="Medios",3,5))))</f>
        <v>49</v>
      </c>
      <c r="L188" s="13" t="n">
        <f aca="false">IF(OR(J188="",K188=""),"",J188-K188)</f>
        <v>-9.1</v>
      </c>
      <c r="M188" s="13" t="n">
        <f aca="false">IF(OR(H188="",F188="",G188=""),"",H188-G188-F188-H188*$B$3+IF(L188="",0,L188))</f>
        <v>161.768</v>
      </c>
      <c r="N188" s="12" t="n">
        <f aca="false">IF(OR(M188="",H188=0,H188=""),"",M188/H188)</f>
        <v>0.278660511265762</v>
      </c>
      <c r="O188" s="22" t="str">
        <f aca="false">IF(N188="","",IF(N188&lt;0,"PREJUÍZO",IF(N188&lt;0.1,"CRÍTICO (&lt;10%)",IF(N188&lt;0.15,"ABAIXO DA META (10-15%)",IF(N188&lt;=0.2,"DENTRO DA META (15-20%)","ACIMA DA META (&gt;20%)")))))</f>
        <v>ACIMA DA META (&gt;20%)</v>
      </c>
      <c r="P188" s="23"/>
    </row>
    <row r="189" customFormat="false" ht="15" hidden="true" customHeight="true" outlineLevel="0" collapsed="false">
      <c r="A189" s="19" t="s">
        <v>169</v>
      </c>
      <c r="B189" s="19" t="s">
        <v>130</v>
      </c>
      <c r="C189" s="19" t="s">
        <v>97</v>
      </c>
      <c r="D189" s="20" t="n">
        <v>532.93</v>
      </c>
      <c r="E189" s="21" t="n">
        <v>0</v>
      </c>
      <c r="F189" s="20" t="n">
        <v>301.03</v>
      </c>
      <c r="G189" s="13" t="n">
        <v>68.14</v>
      </c>
      <c r="H189" s="13" t="n">
        <f aca="false">IF(D189="","",D189*(1-E189))</f>
        <v>532.93</v>
      </c>
      <c r="I189" s="12" t="n">
        <f aca="false">IF(OR(G189="",H189=""),"",G189/H189)</f>
        <v>0.127859193515096</v>
      </c>
      <c r="J189" s="13" t="n">
        <f aca="false">IF(OR(B189="",C189=""),"",INDEX(Ref_Frete!$B$2:$G$54,MATCH(C189,Ref_Frete!$A$2:$A$54,0),IF(B189="Pequenos",2,IF(B189="Medios",4,6))))</f>
        <v>59.9</v>
      </c>
      <c r="K189" s="13" t="n">
        <f aca="false">IF(OR(B189="",C189=""),"",INDEX(Ref_Frete!$B$2:$G$54,MATCH(C189,Ref_Frete!$A$2:$A$54,0),IF(B189="Pequenos",1,IF(B189="Medios",3,5))))</f>
        <v>89</v>
      </c>
      <c r="L189" s="13" t="n">
        <f aca="false">IF(OR(J189="",K189=""),"",J189-K189)</f>
        <v>-29.1</v>
      </c>
      <c r="M189" s="13" t="n">
        <f aca="false">IF(OR(H189="",F189="",G189=""),"",H189-G189-F189-H189*$B$3+IF(L189="",0,L189))</f>
        <v>81.367</v>
      </c>
      <c r="N189" s="12" t="n">
        <f aca="false">IF(OR(M189="",H189=0,H189=""),"",M189/H189)</f>
        <v>0.152678588182313</v>
      </c>
      <c r="O189" s="22" t="str">
        <f aca="false">IF(N189="","",IF(N189&lt;0,"PREJUÍZO",IF(N189&lt;0.1,"CRÍTICO (&lt;10%)",IF(N189&lt;0.15,"ABAIXO DA META (10-15%)",IF(N189&lt;=0.2,"DENTRO DA META (15-20%)","ACIMA DA META (&gt;20%)")))))</f>
        <v>DENTRO DA META (15-20%)</v>
      </c>
      <c r="P189" s="23"/>
    </row>
    <row r="190" customFormat="false" ht="15" hidden="false" customHeight="true" outlineLevel="0" collapsed="false">
      <c r="A190" s="19" t="s">
        <v>169</v>
      </c>
      <c r="B190" s="19" t="s">
        <v>130</v>
      </c>
      <c r="C190" s="19" t="s">
        <v>98</v>
      </c>
      <c r="D190" s="20" t="n">
        <v>532.93</v>
      </c>
      <c r="E190" s="21" t="n">
        <v>0</v>
      </c>
      <c r="F190" s="20" t="n">
        <v>301.03</v>
      </c>
      <c r="G190" s="13" t="n">
        <v>68.14</v>
      </c>
      <c r="H190" s="13" t="n">
        <f aca="false">IF(D190="","",D190*(1-E190))</f>
        <v>532.93</v>
      </c>
      <c r="I190" s="12" t="n">
        <f aca="false">IF(OR(G190="",H190=""),"",G190/H190)</f>
        <v>0.127859193515096</v>
      </c>
      <c r="J190" s="13" t="n">
        <f aca="false">IF(OR(B190="",C190=""),"",INDEX(Ref_Frete!$B$2:$G$54,MATCH(C190,Ref_Frete!$A$2:$A$54,0),IF(B190="Pequenos",2,IF(B190="Medios",4,6))))</f>
        <v>39.9</v>
      </c>
      <c r="K190" s="13" t="n">
        <f aca="false">IF(OR(B190="",C190=""),"",INDEX(Ref_Frete!$B$2:$G$54,MATCH(C190,Ref_Frete!$A$2:$A$54,0),IF(B190="Pequenos",1,IF(B190="Medios",3,5))))</f>
        <v>49</v>
      </c>
      <c r="L190" s="13" t="n">
        <f aca="false">IF(OR(J190="",K190=""),"",J190-K190)</f>
        <v>-9.1</v>
      </c>
      <c r="M190" s="13" t="n">
        <f aca="false">IF(OR(H190="",F190="",G190=""),"",H190-G190-F190-H190*$B$3+IF(L190="",0,L190))</f>
        <v>101.367</v>
      </c>
      <c r="N190" s="12" t="n">
        <f aca="false">IF(OR(M190="",H190=0,H190=""),"",M190/H190)</f>
        <v>0.190206969020322</v>
      </c>
      <c r="O190" s="22" t="str">
        <f aca="false">IF(N190="","",IF(N190&lt;0,"PREJUÍZO",IF(N190&lt;0.1,"CRÍTICO (&lt;10%)",IF(N190&lt;0.15,"ABAIXO DA META (10-15%)",IF(N190&lt;=0.2,"DENTRO DA META (15-20%)","ACIMA DA META (&gt;20%)")))))</f>
        <v>DENTRO DA META (15-20%)</v>
      </c>
      <c r="P190" s="23"/>
    </row>
    <row r="191" customFormat="false" ht="15" hidden="true" customHeight="true" outlineLevel="0" collapsed="false">
      <c r="A191" s="19" t="s">
        <v>170</v>
      </c>
      <c r="B191" s="19" t="s">
        <v>130</v>
      </c>
      <c r="C191" s="19" t="s">
        <v>97</v>
      </c>
      <c r="D191" s="20" t="n">
        <v>475.31</v>
      </c>
      <c r="E191" s="21" t="n">
        <v>0</v>
      </c>
      <c r="F191" s="20" t="n">
        <v>247.86</v>
      </c>
      <c r="G191" s="13" t="n">
        <v>61.23</v>
      </c>
      <c r="H191" s="13" t="n">
        <f aca="false">IF(D191="","",D191*(1-E191))</f>
        <v>475.31</v>
      </c>
      <c r="I191" s="12" t="n">
        <f aca="false">IF(OR(G191="",H191=""),"",G191/H191)</f>
        <v>0.128821190381015</v>
      </c>
      <c r="J191" s="13" t="n">
        <f aca="false">IF(OR(B191="",C191=""),"",INDEX(Ref_Frete!$B$2:$G$54,MATCH(C191,Ref_Frete!$A$2:$A$54,0),IF(B191="Pequenos",2,IF(B191="Medios",4,6))))</f>
        <v>59.9</v>
      </c>
      <c r="K191" s="13" t="n">
        <f aca="false">IF(OR(B191="",C191=""),"",INDEX(Ref_Frete!$B$2:$G$54,MATCH(C191,Ref_Frete!$A$2:$A$54,0),IF(B191="Pequenos",1,IF(B191="Medios",3,5))))</f>
        <v>89</v>
      </c>
      <c r="L191" s="13" t="n">
        <f aca="false">IF(OR(J191="",K191=""),"",J191-K191)</f>
        <v>-29.1</v>
      </c>
      <c r="M191" s="13" t="n">
        <f aca="false">IF(OR(H191="",F191="",G191=""),"",H191-G191-F191-H191*$B$3+IF(L191="",0,L191))</f>
        <v>89.589</v>
      </c>
      <c r="N191" s="12" t="n">
        <f aca="false">IF(OR(M191="",H191=0,H191=""),"",M191/H191)</f>
        <v>0.188485409522207</v>
      </c>
      <c r="O191" s="22" t="str">
        <f aca="false">IF(N191="","",IF(N191&lt;0,"PREJUÍZO",IF(N191&lt;0.1,"CRÍTICO (&lt;10%)",IF(N191&lt;0.15,"ABAIXO DA META (10-15%)",IF(N191&lt;=0.2,"DENTRO DA META (15-20%)","ACIMA DA META (&gt;20%)")))))</f>
        <v>DENTRO DA META (15-20%)</v>
      </c>
      <c r="P191" s="23"/>
    </row>
    <row r="192" customFormat="false" ht="15" hidden="false" customHeight="true" outlineLevel="0" collapsed="false">
      <c r="A192" s="19" t="s">
        <v>170</v>
      </c>
      <c r="B192" s="19" t="s">
        <v>130</v>
      </c>
      <c r="C192" s="19" t="s">
        <v>98</v>
      </c>
      <c r="D192" s="20" t="n">
        <v>475.31</v>
      </c>
      <c r="E192" s="21" t="n">
        <v>0</v>
      </c>
      <c r="F192" s="20" t="n">
        <v>247.86</v>
      </c>
      <c r="G192" s="13" t="n">
        <v>61.23</v>
      </c>
      <c r="H192" s="13" t="n">
        <f aca="false">IF(D192="","",D192*(1-E192))</f>
        <v>475.31</v>
      </c>
      <c r="I192" s="12" t="n">
        <f aca="false">IF(OR(G192="",H192=""),"",G192/H192)</f>
        <v>0.128821190381015</v>
      </c>
      <c r="J192" s="13" t="n">
        <f aca="false">IF(OR(B192="",C192=""),"",INDEX(Ref_Frete!$B$2:$G$54,MATCH(C192,Ref_Frete!$A$2:$A$54,0),IF(B192="Pequenos",2,IF(B192="Medios",4,6))))</f>
        <v>39.9</v>
      </c>
      <c r="K192" s="13" t="n">
        <f aca="false">IF(OR(B192="",C192=""),"",INDEX(Ref_Frete!$B$2:$G$54,MATCH(C192,Ref_Frete!$A$2:$A$54,0),IF(B192="Pequenos",1,IF(B192="Medios",3,5))))</f>
        <v>49</v>
      </c>
      <c r="L192" s="13" t="n">
        <f aca="false">IF(OR(J192="",K192=""),"",J192-K192)</f>
        <v>-9.1</v>
      </c>
      <c r="M192" s="13" t="n">
        <f aca="false">IF(OR(H192="",F192="",G192=""),"",H192-G192-F192-H192*$B$3+IF(L192="",0,L192))</f>
        <v>109.589</v>
      </c>
      <c r="N192" s="12" t="n">
        <f aca="false">IF(OR(M192="",H192=0,H192=""),"",M192/H192)</f>
        <v>0.230563211377838</v>
      </c>
      <c r="O192" s="22" t="str">
        <f aca="false">IF(N192="","",IF(N192&lt;0,"PREJUÍZO",IF(N192&lt;0.1,"CRÍTICO (&lt;10%)",IF(N192&lt;0.15,"ABAIXO DA META (10-15%)",IF(N192&lt;=0.2,"DENTRO DA META (15-20%)","ACIMA DA META (&gt;20%)")))))</f>
        <v>ACIMA DA META (&gt;20%)</v>
      </c>
      <c r="P192" s="23"/>
    </row>
    <row r="193" customFormat="false" ht="15" hidden="true" customHeight="true" outlineLevel="0" collapsed="false">
      <c r="A193" s="19" t="s">
        <v>171</v>
      </c>
      <c r="B193" s="19" t="s">
        <v>130</v>
      </c>
      <c r="C193" s="19" t="s">
        <v>97</v>
      </c>
      <c r="D193" s="20" t="n">
        <v>457.17</v>
      </c>
      <c r="E193" s="21" t="n">
        <v>0</v>
      </c>
      <c r="F193" s="20" t="n">
        <v>236.22</v>
      </c>
      <c r="G193" s="13" t="n">
        <v>59.05</v>
      </c>
      <c r="H193" s="13" t="n">
        <f aca="false">IF(D193="","",D193*(1-E193))</f>
        <v>457.17</v>
      </c>
      <c r="I193" s="12" t="n">
        <f aca="false">IF(OR(G193="",H193=""),"",G193/H193)</f>
        <v>0.129164205875276</v>
      </c>
      <c r="J193" s="13" t="n">
        <f aca="false">IF(OR(B193="",C193=""),"",INDEX(Ref_Frete!$B$2:$G$54,MATCH(C193,Ref_Frete!$A$2:$A$54,0),IF(B193="Pequenos",2,IF(B193="Medios",4,6))))</f>
        <v>59.9</v>
      </c>
      <c r="K193" s="13" t="n">
        <f aca="false">IF(OR(B193="",C193=""),"",INDEX(Ref_Frete!$B$2:$G$54,MATCH(C193,Ref_Frete!$A$2:$A$54,0),IF(B193="Pequenos",1,IF(B193="Medios",3,5))))</f>
        <v>89</v>
      </c>
      <c r="L193" s="13" t="n">
        <f aca="false">IF(OR(J193="",K193=""),"",J193-K193)</f>
        <v>-29.1</v>
      </c>
      <c r="M193" s="13" t="n">
        <f aca="false">IF(OR(H193="",F193="",G193=""),"",H193-G193-F193-H193*$B$3+IF(L193="",0,L193))</f>
        <v>87.083</v>
      </c>
      <c r="N193" s="12" t="n">
        <f aca="false">IF(OR(M193="",H193=0,H193=""),"",M193/H193)</f>
        <v>0.190482752586565</v>
      </c>
      <c r="O193" s="22" t="str">
        <f aca="false">IF(N193="","",IF(N193&lt;0,"PREJUÍZO",IF(N193&lt;0.1,"CRÍTICO (&lt;10%)",IF(N193&lt;0.15,"ABAIXO DA META (10-15%)",IF(N193&lt;=0.2,"DENTRO DA META (15-20%)","ACIMA DA META (&gt;20%)")))))</f>
        <v>DENTRO DA META (15-20%)</v>
      </c>
      <c r="P193" s="23"/>
    </row>
    <row r="194" customFormat="false" ht="15" hidden="false" customHeight="true" outlineLevel="0" collapsed="false">
      <c r="A194" s="19" t="s">
        <v>171</v>
      </c>
      <c r="B194" s="19" t="s">
        <v>130</v>
      </c>
      <c r="C194" s="19" t="s">
        <v>98</v>
      </c>
      <c r="D194" s="20" t="n">
        <v>457.17</v>
      </c>
      <c r="E194" s="21" t="n">
        <v>0</v>
      </c>
      <c r="F194" s="20" t="n">
        <v>236.22</v>
      </c>
      <c r="G194" s="13" t="n">
        <v>59.05</v>
      </c>
      <c r="H194" s="13" t="n">
        <f aca="false">IF(D194="","",D194*(1-E194))</f>
        <v>457.17</v>
      </c>
      <c r="I194" s="12" t="n">
        <f aca="false">IF(OR(G194="",H194=""),"",G194/H194)</f>
        <v>0.129164205875276</v>
      </c>
      <c r="J194" s="13" t="n">
        <f aca="false">IF(OR(B194="",C194=""),"",INDEX(Ref_Frete!$B$2:$G$54,MATCH(C194,Ref_Frete!$A$2:$A$54,0),IF(B194="Pequenos",2,IF(B194="Medios",4,6))))</f>
        <v>39.9</v>
      </c>
      <c r="K194" s="13" t="n">
        <f aca="false">IF(OR(B194="",C194=""),"",INDEX(Ref_Frete!$B$2:$G$54,MATCH(C194,Ref_Frete!$A$2:$A$54,0),IF(B194="Pequenos",1,IF(B194="Medios",3,5))))</f>
        <v>49</v>
      </c>
      <c r="L194" s="13" t="n">
        <f aca="false">IF(OR(J194="",K194=""),"",J194-K194)</f>
        <v>-9.1</v>
      </c>
      <c r="M194" s="13" t="n">
        <f aca="false">IF(OR(H194="",F194="",G194=""),"",H194-G194-F194-H194*$B$3+IF(L194="",0,L194))</f>
        <v>107.083</v>
      </c>
      <c r="N194" s="12" t="n">
        <f aca="false">IF(OR(M194="",H194=0,H194=""),"",M194/H194)</f>
        <v>0.234230155084542</v>
      </c>
      <c r="O194" s="22" t="str">
        <f aca="false">IF(N194="","",IF(N194&lt;0,"PREJUÍZO",IF(N194&lt;0.1,"CRÍTICO (&lt;10%)",IF(N194&lt;0.15,"ABAIXO DA META (10-15%)",IF(N194&lt;=0.2,"DENTRO DA META (15-20%)","ACIMA DA META (&gt;20%)")))))</f>
        <v>ACIMA DA META (&gt;20%)</v>
      </c>
      <c r="P194" s="23"/>
    </row>
    <row r="195" customFormat="false" ht="15" hidden="true" customHeight="true" outlineLevel="0" collapsed="false">
      <c r="A195" s="19" t="s">
        <v>172</v>
      </c>
      <c r="B195" s="19" t="s">
        <v>173</v>
      </c>
      <c r="C195" s="19" t="s">
        <v>97</v>
      </c>
      <c r="D195" s="20" t="n">
        <v>712.14</v>
      </c>
      <c r="E195" s="21" t="n">
        <v>0</v>
      </c>
      <c r="F195" s="20" t="n">
        <v>366.6</v>
      </c>
      <c r="G195" s="13" t="n">
        <v>98.18</v>
      </c>
      <c r="H195" s="13" t="n">
        <f aca="false">IF(D195="","",D195*(1-E195))</f>
        <v>712.14</v>
      </c>
      <c r="I195" s="12" t="n">
        <f aca="false">IF(OR(G195="",H195=""),"",G195/H195)</f>
        <v>0.137866149914343</v>
      </c>
      <c r="J195" s="13" t="n">
        <f aca="false">IF(OR(B195="",C195=""),"",INDEX(Ref_Frete!$B$2:$G$54,MATCH(C195,Ref_Frete!$A$2:$A$54,0),IF(B195="Pequenos",2,IF(B195="Medios",4,6))))</f>
        <v>233</v>
      </c>
      <c r="K195" s="13" t="n">
        <f aca="false">IF(OR(B195="",C195=""),"",INDEX(Ref_Frete!$B$2:$G$54,MATCH(C195,Ref_Frete!$A$2:$A$54,0),IF(B195="Pequenos",1,IF(B195="Medios",3,5))))</f>
        <v>233</v>
      </c>
      <c r="L195" s="13" t="n">
        <f aca="false">IF(OR(J195="",K195=""),"",J195-K195)</f>
        <v>0</v>
      </c>
      <c r="M195" s="13" t="n">
        <f aca="false">IF(OR(H195="",F195="",G195=""),"",H195-G195-F195-H195*$B$3+IF(L195="",0,L195))</f>
        <v>176.146</v>
      </c>
      <c r="N195" s="12" t="n">
        <f aca="false">IF(OR(M195="",H195=0,H195=""),"",M195/H195)</f>
        <v>0.247347431684781</v>
      </c>
      <c r="O195" s="22" t="str">
        <f aca="false">IF(N195="","",IF(N195&lt;0,"PREJUÍZO",IF(N195&lt;0.1,"CRÍTICO (&lt;10%)",IF(N195&lt;0.15,"ABAIXO DA META (10-15%)",IF(N195&lt;=0.2,"DENTRO DA META (15-20%)","ACIMA DA META (&gt;20%)")))))</f>
        <v>ACIMA DA META (&gt;20%)</v>
      </c>
      <c r="P195" s="23"/>
    </row>
    <row r="196" customFormat="false" ht="15" hidden="true" customHeight="true" outlineLevel="0" collapsed="false">
      <c r="A196" s="19" t="s">
        <v>172</v>
      </c>
      <c r="B196" s="19" t="s">
        <v>173</v>
      </c>
      <c r="C196" s="19" t="s">
        <v>98</v>
      </c>
      <c r="D196" s="20" t="n">
        <v>712.14</v>
      </c>
      <c r="E196" s="21" t="n">
        <v>0</v>
      </c>
      <c r="F196" s="20" t="n">
        <v>366.6</v>
      </c>
      <c r="G196" s="13" t="n">
        <v>98.18</v>
      </c>
      <c r="H196" s="13" t="n">
        <f aca="false">IF(D196="","",D196*(1-E196))</f>
        <v>712.14</v>
      </c>
      <c r="I196" s="12" t="n">
        <f aca="false">IF(OR(G196="",H196=""),"",G196/H196)</f>
        <v>0.137866149914343</v>
      </c>
      <c r="J196" s="13" t="n">
        <f aca="false">IF(OR(B196="",C196=""),"",INDEX(Ref_Frete!$B$2:$G$54,MATCH(C196,Ref_Frete!$A$2:$A$54,0),IF(B196="Pequenos",2,IF(B196="Medios",4,6))))</f>
        <v>120</v>
      </c>
      <c r="K196" s="13" t="n">
        <f aca="false">IF(OR(B196="",C196=""),"",INDEX(Ref_Frete!$B$2:$G$54,MATCH(C196,Ref_Frete!$A$2:$A$54,0),IF(B196="Pequenos",1,IF(B196="Medios",3,5))))</f>
        <v>120</v>
      </c>
      <c r="L196" s="13" t="n">
        <f aca="false">IF(OR(J196="",K196=""),"",J196-K196)</f>
        <v>0</v>
      </c>
      <c r="M196" s="13" t="n">
        <f aca="false">IF(OR(H196="",F196="",G196=""),"",H196-G196-F196-H196*$B$3+IF(L196="",0,L196))</f>
        <v>176.146</v>
      </c>
      <c r="N196" s="12" t="n">
        <f aca="false">IF(OR(M196="",H196=0,H196=""),"",M196/H196)</f>
        <v>0.247347431684781</v>
      </c>
      <c r="O196" s="22" t="str">
        <f aca="false">IF(N196="","",IF(N196&lt;0,"PREJUÍZO",IF(N196&lt;0.1,"CRÍTICO (&lt;10%)",IF(N196&lt;0.15,"ABAIXO DA META (10-15%)",IF(N196&lt;=0.2,"DENTRO DA META (15-20%)","ACIMA DA META (&gt;20%)")))))</f>
        <v>ACIMA DA META (&gt;20%)</v>
      </c>
      <c r="P196" s="23"/>
    </row>
    <row r="197" customFormat="false" ht="15" hidden="true" customHeight="true" outlineLevel="0" collapsed="false">
      <c r="A197" s="19" t="s">
        <v>174</v>
      </c>
      <c r="B197" s="19" t="s">
        <v>173</v>
      </c>
      <c r="C197" s="19" t="s">
        <v>97</v>
      </c>
      <c r="D197" s="20" t="n">
        <v>810.5</v>
      </c>
      <c r="E197" s="21" t="n">
        <v>0</v>
      </c>
      <c r="F197" s="20" t="n">
        <v>428.19</v>
      </c>
      <c r="G197" s="13" t="n">
        <v>109.88</v>
      </c>
      <c r="H197" s="13" t="n">
        <f aca="false">IF(D197="","",D197*(1-E197))</f>
        <v>810.5</v>
      </c>
      <c r="I197" s="12" t="n">
        <f aca="false">IF(OR(G197="",H197=""),"",G197/H197)</f>
        <v>0.135570635410241</v>
      </c>
      <c r="J197" s="13" t="n">
        <f aca="false">IF(OR(B197="",C197=""),"",INDEX(Ref_Frete!$B$2:$G$54,MATCH(C197,Ref_Frete!$A$2:$A$54,0),IF(B197="Pequenos",2,IF(B197="Medios",4,6))))</f>
        <v>233</v>
      </c>
      <c r="K197" s="13" t="n">
        <f aca="false">IF(OR(B197="",C197=""),"",INDEX(Ref_Frete!$B$2:$G$54,MATCH(C197,Ref_Frete!$A$2:$A$54,0),IF(B197="Pequenos",1,IF(B197="Medios",3,5))))</f>
        <v>233</v>
      </c>
      <c r="L197" s="13" t="n">
        <f aca="false">IF(OR(J197="",K197=""),"",J197-K197)</f>
        <v>0</v>
      </c>
      <c r="M197" s="13" t="n">
        <f aca="false">IF(OR(H197="",F197="",G197=""),"",H197-G197-F197-H197*$B$3+IF(L197="",0,L197))</f>
        <v>191.38</v>
      </c>
      <c r="N197" s="12" t="n">
        <f aca="false">IF(OR(M197="",H197=0,H197=""),"",M197/H197)</f>
        <v>0.236125848241826</v>
      </c>
      <c r="O197" s="22" t="str">
        <f aca="false">IF(N197="","",IF(N197&lt;0,"PREJUÍZO",IF(N197&lt;0.1,"CRÍTICO (&lt;10%)",IF(N197&lt;0.15,"ABAIXO DA META (10-15%)",IF(N197&lt;=0.2,"DENTRO DA META (15-20%)","ACIMA DA META (&gt;20%)")))))</f>
        <v>ACIMA DA META (&gt;20%)</v>
      </c>
      <c r="P197" s="23"/>
    </row>
    <row r="198" customFormat="false" ht="15" hidden="true" customHeight="true" outlineLevel="0" collapsed="false">
      <c r="A198" s="19" t="s">
        <v>174</v>
      </c>
      <c r="B198" s="19" t="s">
        <v>173</v>
      </c>
      <c r="C198" s="19" t="s">
        <v>98</v>
      </c>
      <c r="D198" s="20" t="n">
        <v>810.5</v>
      </c>
      <c r="E198" s="21" t="n">
        <v>0</v>
      </c>
      <c r="F198" s="20" t="n">
        <v>428.19</v>
      </c>
      <c r="G198" s="13" t="n">
        <v>109.88</v>
      </c>
      <c r="H198" s="13" t="n">
        <f aca="false">IF(D198="","",D198*(1-E198))</f>
        <v>810.5</v>
      </c>
      <c r="I198" s="12" t="n">
        <f aca="false">IF(OR(G198="",H198=""),"",G198/H198)</f>
        <v>0.135570635410241</v>
      </c>
      <c r="J198" s="13" t="n">
        <f aca="false">IF(OR(B198="",C198=""),"",INDEX(Ref_Frete!$B$2:$G$54,MATCH(C198,Ref_Frete!$A$2:$A$54,0),IF(B198="Pequenos",2,IF(B198="Medios",4,6))))</f>
        <v>120</v>
      </c>
      <c r="K198" s="13" t="n">
        <f aca="false">IF(OR(B198="",C198=""),"",INDEX(Ref_Frete!$B$2:$G$54,MATCH(C198,Ref_Frete!$A$2:$A$54,0),IF(B198="Pequenos",1,IF(B198="Medios",3,5))))</f>
        <v>120</v>
      </c>
      <c r="L198" s="13" t="n">
        <f aca="false">IF(OR(J198="",K198=""),"",J198-K198)</f>
        <v>0</v>
      </c>
      <c r="M198" s="13" t="n">
        <f aca="false">IF(OR(H198="",F198="",G198=""),"",H198-G198-F198-H198*$B$3+IF(L198="",0,L198))</f>
        <v>191.38</v>
      </c>
      <c r="N198" s="12" t="n">
        <f aca="false">IF(OR(M198="",H198=0,H198=""),"",M198/H198)</f>
        <v>0.236125848241826</v>
      </c>
      <c r="O198" s="22" t="str">
        <f aca="false">IF(N198="","",IF(N198&lt;0,"PREJUÍZO",IF(N198&lt;0.1,"CRÍTICO (&lt;10%)",IF(N198&lt;0.15,"ABAIXO DA META (10-15%)",IF(N198&lt;=0.2,"DENTRO DA META (15-20%)","ACIMA DA META (&gt;20%)")))))</f>
        <v>ACIMA DA META (&gt;20%)</v>
      </c>
      <c r="P198" s="23"/>
    </row>
    <row r="199" customFormat="false" ht="15" hidden="true" customHeight="true" outlineLevel="0" collapsed="false">
      <c r="A199" s="19" t="s">
        <v>54</v>
      </c>
      <c r="B199" s="19" t="s">
        <v>173</v>
      </c>
      <c r="C199" s="19" t="s">
        <v>97</v>
      </c>
      <c r="D199" s="20" t="n">
        <v>814.08</v>
      </c>
      <c r="E199" s="21" t="n">
        <v>0</v>
      </c>
      <c r="F199" s="20" t="n">
        <v>400.17</v>
      </c>
      <c r="G199" s="13" t="n">
        <v>110.41</v>
      </c>
      <c r="H199" s="13" t="n">
        <f aca="false">IF(D199="","",D199*(1-E199))</f>
        <v>814.08</v>
      </c>
      <c r="I199" s="12" t="n">
        <f aca="false">IF(OR(G199="",H199=""),"",G199/H199)</f>
        <v>0.135625491352201</v>
      </c>
      <c r="J199" s="13" t="n">
        <f aca="false">IF(OR(B199="",C199=""),"",INDEX(Ref_Frete!$B$2:$G$54,MATCH(C199,Ref_Frete!$A$2:$A$54,0),IF(B199="Pequenos",2,IF(B199="Medios",4,6))))</f>
        <v>233</v>
      </c>
      <c r="K199" s="13" t="n">
        <f aca="false">IF(OR(B199="",C199=""),"",INDEX(Ref_Frete!$B$2:$G$54,MATCH(C199,Ref_Frete!$A$2:$A$54,0),IF(B199="Pequenos",1,IF(B199="Medios",3,5))))</f>
        <v>233</v>
      </c>
      <c r="L199" s="13" t="n">
        <f aca="false">IF(OR(J199="",K199=""),"",J199-K199)</f>
        <v>0</v>
      </c>
      <c r="M199" s="13" t="n">
        <f aca="false">IF(OR(H199="",F199="",G199=""),"",H199-G199-F199-H199*$B$3+IF(L199="",0,L199))</f>
        <v>222.092</v>
      </c>
      <c r="N199" s="12" t="n">
        <f aca="false">IF(OR(M199="",H199=0,H199=""),"",M199/H199)</f>
        <v>0.272813482704403</v>
      </c>
      <c r="O199" s="22" t="str">
        <f aca="false">IF(N199="","",IF(N199&lt;0,"PREJUÍZO",IF(N199&lt;0.1,"CRÍTICO (&lt;10%)",IF(N199&lt;0.15,"ABAIXO DA META (10-15%)",IF(N199&lt;=0.2,"DENTRO DA META (15-20%)","ACIMA DA META (&gt;20%)")))))</f>
        <v>ACIMA DA META (&gt;20%)</v>
      </c>
      <c r="P199" s="23"/>
    </row>
    <row r="200" customFormat="false" ht="15" hidden="true" customHeight="true" outlineLevel="0" collapsed="false">
      <c r="A200" s="19" t="s">
        <v>54</v>
      </c>
      <c r="B200" s="19" t="s">
        <v>173</v>
      </c>
      <c r="C200" s="19" t="s">
        <v>98</v>
      </c>
      <c r="D200" s="20" t="n">
        <v>814.08</v>
      </c>
      <c r="E200" s="21" t="n">
        <v>0</v>
      </c>
      <c r="F200" s="20" t="n">
        <v>400.17</v>
      </c>
      <c r="G200" s="13" t="n">
        <v>110.41</v>
      </c>
      <c r="H200" s="13" t="n">
        <f aca="false">IF(D200="","",D200*(1-E200))</f>
        <v>814.08</v>
      </c>
      <c r="I200" s="12" t="n">
        <f aca="false">IF(OR(G200="",H200=""),"",G200/H200)</f>
        <v>0.135625491352201</v>
      </c>
      <c r="J200" s="13" t="n">
        <f aca="false">IF(OR(B200="",C200=""),"",INDEX(Ref_Frete!$B$2:$G$54,MATCH(C200,Ref_Frete!$A$2:$A$54,0),IF(B200="Pequenos",2,IF(B200="Medios",4,6))))</f>
        <v>120</v>
      </c>
      <c r="K200" s="13" t="n">
        <f aca="false">IF(OR(B200="",C200=""),"",INDEX(Ref_Frete!$B$2:$G$54,MATCH(C200,Ref_Frete!$A$2:$A$54,0),IF(B200="Pequenos",1,IF(B200="Medios",3,5))))</f>
        <v>120</v>
      </c>
      <c r="L200" s="13" t="n">
        <f aca="false">IF(OR(J200="",K200=""),"",J200-K200)</f>
        <v>0</v>
      </c>
      <c r="M200" s="13" t="n">
        <f aca="false">IF(OR(H200="",F200="",G200=""),"",H200-G200-F200-H200*$B$3+IF(L200="",0,L200))</f>
        <v>222.092</v>
      </c>
      <c r="N200" s="12" t="n">
        <f aca="false">IF(OR(M200="",H200=0,H200=""),"",M200/H200)</f>
        <v>0.272813482704403</v>
      </c>
      <c r="O200" s="22" t="str">
        <f aca="false">IF(N200="","",IF(N200&lt;0,"PREJUÍZO",IF(N200&lt;0.1,"CRÍTICO (&lt;10%)",IF(N200&lt;0.15,"ABAIXO DA META (10-15%)",IF(N200&lt;=0.2,"DENTRO DA META (15-20%)","ACIMA DA META (&gt;20%)")))))</f>
        <v>ACIMA DA META (&gt;20%)</v>
      </c>
      <c r="P200" s="23"/>
    </row>
    <row r="201" customFormat="false" ht="15" hidden="true" customHeight="true" outlineLevel="0" collapsed="false">
      <c r="A201" s="19" t="s">
        <v>62</v>
      </c>
      <c r="B201" s="19" t="s">
        <v>173</v>
      </c>
      <c r="C201" s="19" t="s">
        <v>97</v>
      </c>
      <c r="D201" s="20" t="n">
        <v>831.06</v>
      </c>
      <c r="E201" s="21" t="n">
        <v>0</v>
      </c>
      <c r="F201" s="20" t="n">
        <v>428.19</v>
      </c>
      <c r="G201" s="13" t="n">
        <v>112.45</v>
      </c>
      <c r="H201" s="13" t="n">
        <f aca="false">IF(D201="","",D201*(1-E201))</f>
        <v>831.06</v>
      </c>
      <c r="I201" s="12" t="n">
        <f aca="false">IF(OR(G201="",H201=""),"",G201/H201)</f>
        <v>0.135309123288331</v>
      </c>
      <c r="J201" s="13" t="n">
        <f aca="false">IF(OR(B201="",C201=""),"",INDEX(Ref_Frete!$B$2:$G$54,MATCH(C201,Ref_Frete!$A$2:$A$54,0),IF(B201="Pequenos",2,IF(B201="Medios",4,6))))</f>
        <v>233</v>
      </c>
      <c r="K201" s="13" t="n">
        <f aca="false">IF(OR(B201="",C201=""),"",INDEX(Ref_Frete!$B$2:$G$54,MATCH(C201,Ref_Frete!$A$2:$A$54,0),IF(B201="Pequenos",1,IF(B201="Medios",3,5))))</f>
        <v>233</v>
      </c>
      <c r="L201" s="13" t="n">
        <f aca="false">IF(OR(J201="",K201=""),"",J201-K201)</f>
        <v>0</v>
      </c>
      <c r="M201" s="13" t="n">
        <f aca="false">IF(OR(H201="",F201="",G201=""),"",H201-G201-F201-H201*$B$3+IF(L201="",0,L201))</f>
        <v>207.314</v>
      </c>
      <c r="N201" s="12" t="n">
        <f aca="false">IF(OR(M201="",H201=0,H201=""),"",M201/H201)</f>
        <v>0.249457319567781</v>
      </c>
      <c r="O201" s="22" t="str">
        <f aca="false">IF(N201="","",IF(N201&lt;0,"PREJUÍZO",IF(N201&lt;0.1,"CRÍTICO (&lt;10%)",IF(N201&lt;0.15,"ABAIXO DA META (10-15%)",IF(N201&lt;=0.2,"DENTRO DA META (15-20%)","ACIMA DA META (&gt;20%)")))))</f>
        <v>ACIMA DA META (&gt;20%)</v>
      </c>
      <c r="P201" s="23"/>
    </row>
    <row r="202" customFormat="false" ht="15" hidden="true" customHeight="true" outlineLevel="0" collapsed="false">
      <c r="A202" s="19" t="s">
        <v>62</v>
      </c>
      <c r="B202" s="19" t="s">
        <v>173</v>
      </c>
      <c r="C202" s="19" t="s">
        <v>98</v>
      </c>
      <c r="D202" s="20" t="n">
        <v>831.06</v>
      </c>
      <c r="E202" s="21" t="n">
        <v>0</v>
      </c>
      <c r="F202" s="20" t="n">
        <v>428.19</v>
      </c>
      <c r="G202" s="13" t="n">
        <v>112.45</v>
      </c>
      <c r="H202" s="13" t="n">
        <f aca="false">IF(D202="","",D202*(1-E202))</f>
        <v>831.06</v>
      </c>
      <c r="I202" s="12" t="n">
        <f aca="false">IF(OR(G202="",H202=""),"",G202/H202)</f>
        <v>0.135309123288331</v>
      </c>
      <c r="J202" s="13" t="n">
        <f aca="false">IF(OR(B202="",C202=""),"",INDEX(Ref_Frete!$B$2:$G$54,MATCH(C202,Ref_Frete!$A$2:$A$54,0),IF(B202="Pequenos",2,IF(B202="Medios",4,6))))</f>
        <v>120</v>
      </c>
      <c r="K202" s="13" t="n">
        <f aca="false">IF(OR(B202="",C202=""),"",INDEX(Ref_Frete!$B$2:$G$54,MATCH(C202,Ref_Frete!$A$2:$A$54,0),IF(B202="Pequenos",1,IF(B202="Medios",3,5))))</f>
        <v>120</v>
      </c>
      <c r="L202" s="13" t="n">
        <f aca="false">IF(OR(J202="",K202=""),"",J202-K202)</f>
        <v>0</v>
      </c>
      <c r="M202" s="13" t="n">
        <f aca="false">IF(OR(H202="",F202="",G202=""),"",H202-G202-F202-H202*$B$3+IF(L202="",0,L202))</f>
        <v>207.314</v>
      </c>
      <c r="N202" s="12" t="n">
        <f aca="false">IF(OR(M202="",H202=0,H202=""),"",M202/H202)</f>
        <v>0.249457319567781</v>
      </c>
      <c r="O202" s="22" t="str">
        <f aca="false">IF(N202="","",IF(N202&lt;0,"PREJUÍZO",IF(N202&lt;0.1,"CRÍTICO (&lt;10%)",IF(N202&lt;0.15,"ABAIXO DA META (10-15%)",IF(N202&lt;=0.2,"DENTRO DA META (15-20%)","ACIMA DA META (&gt;20%)")))))</f>
        <v>ACIMA DA META (&gt;20%)</v>
      </c>
      <c r="P202" s="23"/>
    </row>
    <row r="203" customFormat="false" ht="15" hidden="true" customHeight="true" outlineLevel="0" collapsed="false">
      <c r="A203" s="19" t="s">
        <v>55</v>
      </c>
      <c r="B203" s="19" t="s">
        <v>173</v>
      </c>
      <c r="C203" s="19" t="s">
        <v>97</v>
      </c>
      <c r="D203" s="20" t="n">
        <v>822.83</v>
      </c>
      <c r="E203" s="21" t="n">
        <v>0</v>
      </c>
      <c r="F203" s="20" t="n">
        <v>405.39</v>
      </c>
      <c r="G203" s="13" t="n">
        <v>111.46</v>
      </c>
      <c r="H203" s="13" t="n">
        <f aca="false">IF(D203="","",D203*(1-E203))</f>
        <v>822.83</v>
      </c>
      <c r="I203" s="12" t="n">
        <f aca="false">IF(OR(G203="",H203=""),"",G203/H203)</f>
        <v>0.135459329387601</v>
      </c>
      <c r="J203" s="13" t="n">
        <f aca="false">IF(OR(B203="",C203=""),"",INDEX(Ref_Frete!$B$2:$G$54,MATCH(C203,Ref_Frete!$A$2:$A$54,0),IF(B203="Pequenos",2,IF(B203="Medios",4,6))))</f>
        <v>233</v>
      </c>
      <c r="K203" s="13" t="n">
        <f aca="false">IF(OR(B203="",C203=""),"",INDEX(Ref_Frete!$B$2:$G$54,MATCH(C203,Ref_Frete!$A$2:$A$54,0),IF(B203="Pequenos",1,IF(B203="Medios",3,5))))</f>
        <v>233</v>
      </c>
      <c r="L203" s="13" t="n">
        <f aca="false">IF(OR(J203="",K203=""),"",J203-K203)</f>
        <v>0</v>
      </c>
      <c r="M203" s="13" t="n">
        <f aca="false">IF(OR(H203="",F203="",G203=""),"",H203-G203-F203-H203*$B$3+IF(L203="",0,L203))</f>
        <v>223.697</v>
      </c>
      <c r="N203" s="12" t="n">
        <f aca="false">IF(OR(M203="",H203=0,H203=""),"",M203/H203)</f>
        <v>0.271862960757386</v>
      </c>
      <c r="O203" s="22" t="str">
        <f aca="false">IF(N203="","",IF(N203&lt;0,"PREJUÍZO",IF(N203&lt;0.1,"CRÍTICO (&lt;10%)",IF(N203&lt;0.15,"ABAIXO DA META (10-15%)",IF(N203&lt;=0.2,"DENTRO DA META (15-20%)","ACIMA DA META (&gt;20%)")))))</f>
        <v>ACIMA DA META (&gt;20%)</v>
      </c>
      <c r="P203" s="23"/>
    </row>
    <row r="204" customFormat="false" ht="15" hidden="true" customHeight="true" outlineLevel="0" collapsed="false">
      <c r="A204" s="19" t="s">
        <v>55</v>
      </c>
      <c r="B204" s="19" t="s">
        <v>173</v>
      </c>
      <c r="C204" s="19" t="s">
        <v>98</v>
      </c>
      <c r="D204" s="20" t="n">
        <v>822.83</v>
      </c>
      <c r="E204" s="21" t="n">
        <v>0</v>
      </c>
      <c r="F204" s="20" t="n">
        <v>405.39</v>
      </c>
      <c r="G204" s="13" t="n">
        <v>111.46</v>
      </c>
      <c r="H204" s="13" t="n">
        <f aca="false">IF(D204="","",D204*(1-E204))</f>
        <v>822.83</v>
      </c>
      <c r="I204" s="12" t="n">
        <f aca="false">IF(OR(G204="",H204=""),"",G204/H204)</f>
        <v>0.135459329387601</v>
      </c>
      <c r="J204" s="13" t="n">
        <f aca="false">IF(OR(B204="",C204=""),"",INDEX(Ref_Frete!$B$2:$G$54,MATCH(C204,Ref_Frete!$A$2:$A$54,0),IF(B204="Pequenos",2,IF(B204="Medios",4,6))))</f>
        <v>120</v>
      </c>
      <c r="K204" s="13" t="n">
        <f aca="false">IF(OR(B204="",C204=""),"",INDEX(Ref_Frete!$B$2:$G$54,MATCH(C204,Ref_Frete!$A$2:$A$54,0),IF(B204="Pequenos",1,IF(B204="Medios",3,5))))</f>
        <v>120</v>
      </c>
      <c r="L204" s="13" t="n">
        <f aca="false">IF(OR(J204="",K204=""),"",J204-K204)</f>
        <v>0</v>
      </c>
      <c r="M204" s="13" t="n">
        <f aca="false">IF(OR(H204="",F204="",G204=""),"",H204-G204-F204-H204*$B$3+IF(L204="",0,L204))</f>
        <v>223.697</v>
      </c>
      <c r="N204" s="12" t="n">
        <f aca="false">IF(OR(M204="",H204=0,H204=""),"",M204/H204)</f>
        <v>0.271862960757386</v>
      </c>
      <c r="O204" s="22" t="str">
        <f aca="false">IF(N204="","",IF(N204&lt;0,"PREJUÍZO",IF(N204&lt;0.1,"CRÍTICO (&lt;10%)",IF(N204&lt;0.15,"ABAIXO DA META (10-15%)",IF(N204&lt;=0.2,"DENTRO DA META (15-20%)","ACIMA DA META (&gt;20%)")))))</f>
        <v>ACIMA DA META (&gt;20%)</v>
      </c>
      <c r="P204" s="23"/>
    </row>
    <row r="205" customFormat="false" ht="15" hidden="true" customHeight="true" outlineLevel="0" collapsed="false">
      <c r="A205" s="19" t="s">
        <v>175</v>
      </c>
      <c r="B205" s="19" t="s">
        <v>173</v>
      </c>
      <c r="C205" s="19" t="s">
        <v>97</v>
      </c>
      <c r="D205" s="20" t="n">
        <v>895.15</v>
      </c>
      <c r="E205" s="21" t="n">
        <v>0</v>
      </c>
      <c r="F205" s="20" t="n">
        <v>468.32</v>
      </c>
      <c r="G205" s="13" t="n">
        <v>120.14</v>
      </c>
      <c r="H205" s="13" t="n">
        <f aca="false">IF(D205="","",D205*(1-E205))</f>
        <v>895.15</v>
      </c>
      <c r="I205" s="12" t="n">
        <f aca="false">IF(OR(G205="",H205=""),"",G205/H205)</f>
        <v>0.134212143216221</v>
      </c>
      <c r="J205" s="13" t="n">
        <f aca="false">IF(OR(B205="",C205=""),"",INDEX(Ref_Frete!$B$2:$G$54,MATCH(C205,Ref_Frete!$A$2:$A$54,0),IF(B205="Pequenos",2,IF(B205="Medios",4,6))))</f>
        <v>233</v>
      </c>
      <c r="K205" s="13" t="n">
        <f aca="false">IF(OR(B205="",C205=""),"",INDEX(Ref_Frete!$B$2:$G$54,MATCH(C205,Ref_Frete!$A$2:$A$54,0),IF(B205="Pequenos",1,IF(B205="Medios",3,5))))</f>
        <v>233</v>
      </c>
      <c r="L205" s="13" t="n">
        <f aca="false">IF(OR(J205="",K205=""),"",J205-K205)</f>
        <v>0</v>
      </c>
      <c r="M205" s="13" t="n">
        <f aca="false">IF(OR(H205="",F205="",G205=""),"",H205-G205-F205-H205*$B$3+IF(L205="",0,L205))</f>
        <v>217.175</v>
      </c>
      <c r="N205" s="12" t="n">
        <f aca="false">IF(OR(M205="",H205=0,H205=""),"",M205/H205)</f>
        <v>0.242612969893314</v>
      </c>
      <c r="O205" s="22" t="str">
        <f aca="false">IF(N205="","",IF(N205&lt;0,"PREJUÍZO",IF(N205&lt;0.1,"CRÍTICO (&lt;10%)",IF(N205&lt;0.15,"ABAIXO DA META (10-15%)",IF(N205&lt;=0.2,"DENTRO DA META (15-20%)","ACIMA DA META (&gt;20%)")))))</f>
        <v>ACIMA DA META (&gt;20%)</v>
      </c>
      <c r="P205" s="23"/>
    </row>
    <row r="206" customFormat="false" ht="15" hidden="true" customHeight="true" outlineLevel="0" collapsed="false">
      <c r="A206" s="19" t="s">
        <v>175</v>
      </c>
      <c r="B206" s="19" t="s">
        <v>173</v>
      </c>
      <c r="C206" s="19" t="s">
        <v>98</v>
      </c>
      <c r="D206" s="20" t="n">
        <v>895.15</v>
      </c>
      <c r="E206" s="21" t="n">
        <v>0</v>
      </c>
      <c r="F206" s="20" t="n">
        <v>468.32</v>
      </c>
      <c r="G206" s="13" t="n">
        <v>120.14</v>
      </c>
      <c r="H206" s="13" t="n">
        <f aca="false">IF(D206="","",D206*(1-E206))</f>
        <v>895.15</v>
      </c>
      <c r="I206" s="12" t="n">
        <f aca="false">IF(OR(G206="",H206=""),"",G206/H206)</f>
        <v>0.134212143216221</v>
      </c>
      <c r="J206" s="13" t="n">
        <f aca="false">IF(OR(B206="",C206=""),"",INDEX(Ref_Frete!$B$2:$G$54,MATCH(C206,Ref_Frete!$A$2:$A$54,0),IF(B206="Pequenos",2,IF(B206="Medios",4,6))))</f>
        <v>120</v>
      </c>
      <c r="K206" s="13" t="n">
        <f aca="false">IF(OR(B206="",C206=""),"",INDEX(Ref_Frete!$B$2:$G$54,MATCH(C206,Ref_Frete!$A$2:$A$54,0),IF(B206="Pequenos",1,IF(B206="Medios",3,5))))</f>
        <v>120</v>
      </c>
      <c r="L206" s="13" t="n">
        <f aca="false">IF(OR(J206="",K206=""),"",J206-K206)</f>
        <v>0</v>
      </c>
      <c r="M206" s="13" t="n">
        <f aca="false">IF(OR(H206="",F206="",G206=""),"",H206-G206-F206-H206*$B$3+IF(L206="",0,L206))</f>
        <v>217.175</v>
      </c>
      <c r="N206" s="12" t="n">
        <f aca="false">IF(OR(M206="",H206=0,H206=""),"",M206/H206)</f>
        <v>0.242612969893314</v>
      </c>
      <c r="O206" s="22" t="str">
        <f aca="false">IF(N206="","",IF(N206&lt;0,"PREJUÍZO",IF(N206&lt;0.1,"CRÍTICO (&lt;10%)",IF(N206&lt;0.15,"ABAIXO DA META (10-15%)",IF(N206&lt;=0.2,"DENTRO DA META (15-20%)","ACIMA DA META (&gt;20%)")))))</f>
        <v>ACIMA DA META (&gt;20%)</v>
      </c>
      <c r="P206" s="23"/>
    </row>
    <row r="207" customFormat="false" ht="15" hidden="true" customHeight="true" outlineLevel="0" collapsed="false">
      <c r="A207" s="19" t="s">
        <v>59</v>
      </c>
      <c r="B207" s="19" t="s">
        <v>173</v>
      </c>
      <c r="C207" s="19" t="s">
        <v>97</v>
      </c>
      <c r="D207" s="20" t="n">
        <v>820.96</v>
      </c>
      <c r="E207" s="21" t="n">
        <v>0</v>
      </c>
      <c r="F207" s="20" t="n">
        <v>416.62</v>
      </c>
      <c r="G207" s="13" t="n">
        <v>111.24</v>
      </c>
      <c r="H207" s="13" t="n">
        <f aca="false">IF(D207="","",D207*(1-E207))</f>
        <v>820.96</v>
      </c>
      <c r="I207" s="12" t="n">
        <f aca="false">IF(OR(G207="",H207=""),"",G207/H207)</f>
        <v>0.135499902553109</v>
      </c>
      <c r="J207" s="13" t="n">
        <f aca="false">IF(OR(B207="",C207=""),"",INDEX(Ref_Frete!$B$2:$G$54,MATCH(C207,Ref_Frete!$A$2:$A$54,0),IF(B207="Pequenos",2,IF(B207="Medios",4,6))))</f>
        <v>233</v>
      </c>
      <c r="K207" s="13" t="n">
        <f aca="false">IF(OR(B207="",C207=""),"",INDEX(Ref_Frete!$B$2:$G$54,MATCH(C207,Ref_Frete!$A$2:$A$54,0),IF(B207="Pequenos",1,IF(B207="Medios",3,5))))</f>
        <v>233</v>
      </c>
      <c r="L207" s="13" t="n">
        <f aca="false">IF(OR(J207="",K207=""),"",J207-K207)</f>
        <v>0</v>
      </c>
      <c r="M207" s="13" t="n">
        <f aca="false">IF(OR(H207="",F207="",G207=""),"",H207-G207-F207-H207*$B$3+IF(L207="",0,L207))</f>
        <v>211.004</v>
      </c>
      <c r="N207" s="12" t="n">
        <f aca="false">IF(OR(M207="",H207=0,H207=""),"",M207/H207)</f>
        <v>0.257021048528552</v>
      </c>
      <c r="O207" s="22" t="str">
        <f aca="false">IF(N207="","",IF(N207&lt;0,"PREJUÍZO",IF(N207&lt;0.1,"CRÍTICO (&lt;10%)",IF(N207&lt;0.15,"ABAIXO DA META (10-15%)",IF(N207&lt;=0.2,"DENTRO DA META (15-20%)","ACIMA DA META (&gt;20%)")))))</f>
        <v>ACIMA DA META (&gt;20%)</v>
      </c>
      <c r="P207" s="23"/>
    </row>
    <row r="208" customFormat="false" ht="15" hidden="true" customHeight="true" outlineLevel="0" collapsed="false">
      <c r="A208" s="19" t="s">
        <v>59</v>
      </c>
      <c r="B208" s="19" t="s">
        <v>173</v>
      </c>
      <c r="C208" s="19" t="s">
        <v>98</v>
      </c>
      <c r="D208" s="20" t="n">
        <v>820.96</v>
      </c>
      <c r="E208" s="21" t="n">
        <v>0</v>
      </c>
      <c r="F208" s="20" t="n">
        <v>416.62</v>
      </c>
      <c r="G208" s="13" t="n">
        <v>111.24</v>
      </c>
      <c r="H208" s="13" t="n">
        <f aca="false">IF(D208="","",D208*(1-E208))</f>
        <v>820.96</v>
      </c>
      <c r="I208" s="12" t="n">
        <f aca="false">IF(OR(G208="",H208=""),"",G208/H208)</f>
        <v>0.135499902553109</v>
      </c>
      <c r="J208" s="13" t="n">
        <f aca="false">IF(OR(B208="",C208=""),"",INDEX(Ref_Frete!$B$2:$G$54,MATCH(C208,Ref_Frete!$A$2:$A$54,0),IF(B208="Pequenos",2,IF(B208="Medios",4,6))))</f>
        <v>120</v>
      </c>
      <c r="K208" s="13" t="n">
        <f aca="false">IF(OR(B208="",C208=""),"",INDEX(Ref_Frete!$B$2:$G$54,MATCH(C208,Ref_Frete!$A$2:$A$54,0),IF(B208="Pequenos",1,IF(B208="Medios",3,5))))</f>
        <v>120</v>
      </c>
      <c r="L208" s="13" t="n">
        <f aca="false">IF(OR(J208="",K208=""),"",J208-K208)</f>
        <v>0</v>
      </c>
      <c r="M208" s="13" t="n">
        <f aca="false">IF(OR(H208="",F208="",G208=""),"",H208-G208-F208-H208*$B$3+IF(L208="",0,L208))</f>
        <v>211.004</v>
      </c>
      <c r="N208" s="12" t="n">
        <f aca="false">IF(OR(M208="",H208=0,H208=""),"",M208/H208)</f>
        <v>0.257021048528552</v>
      </c>
      <c r="O208" s="22" t="str">
        <f aca="false">IF(N208="","",IF(N208&lt;0,"PREJUÍZO",IF(N208&lt;0.1,"CRÍTICO (&lt;10%)",IF(N208&lt;0.15,"ABAIXO DA META (10-15%)",IF(N208&lt;=0.2,"DENTRO DA META (15-20%)","ACIMA DA META (&gt;20%)")))))</f>
        <v>ACIMA DA META (&gt;20%)</v>
      </c>
      <c r="P208" s="23"/>
    </row>
    <row r="209" customFormat="false" ht="15" hidden="true" customHeight="true" outlineLevel="0" collapsed="false">
      <c r="A209" s="19" t="s">
        <v>176</v>
      </c>
      <c r="B209" s="19" t="s">
        <v>173</v>
      </c>
      <c r="C209" s="19" t="s">
        <v>97</v>
      </c>
      <c r="D209" s="20" t="n">
        <v>1025.83</v>
      </c>
      <c r="E209" s="21" t="n">
        <v>0</v>
      </c>
      <c r="F209" s="20" t="n">
        <v>539.53</v>
      </c>
      <c r="G209" s="13" t="n">
        <v>135.82</v>
      </c>
      <c r="H209" s="13" t="n">
        <f aca="false">IF(D209="","",D209*(1-E209))</f>
        <v>1025.83</v>
      </c>
      <c r="I209" s="12" t="n">
        <f aca="false">IF(OR(G209="",H209=""),"",G209/H209)</f>
        <v>0.132400105280602</v>
      </c>
      <c r="J209" s="13" t="n">
        <f aca="false">IF(OR(B209="",C209=""),"",INDEX(Ref_Frete!$B$2:$G$54,MATCH(C209,Ref_Frete!$A$2:$A$54,0),IF(B209="Pequenos",2,IF(B209="Medios",4,6))))</f>
        <v>233</v>
      </c>
      <c r="K209" s="13" t="n">
        <f aca="false">IF(OR(B209="",C209=""),"",INDEX(Ref_Frete!$B$2:$G$54,MATCH(C209,Ref_Frete!$A$2:$A$54,0),IF(B209="Pequenos",1,IF(B209="Medios",3,5))))</f>
        <v>233</v>
      </c>
      <c r="L209" s="13" t="n">
        <f aca="false">IF(OR(J209="",K209=""),"",J209-K209)</f>
        <v>0</v>
      </c>
      <c r="M209" s="13" t="n">
        <f aca="false">IF(OR(H209="",F209="",G209=""),"",H209-G209-F209-H209*$B$3+IF(L209="",0,L209))</f>
        <v>247.897</v>
      </c>
      <c r="N209" s="12" t="n">
        <f aca="false">IF(OR(M209="",H209=0,H209=""),"",M209/H209)</f>
        <v>0.241655050057027</v>
      </c>
      <c r="O209" s="22" t="str">
        <f aca="false">IF(N209="","",IF(N209&lt;0,"PREJUÍZO",IF(N209&lt;0.1,"CRÍTICO (&lt;10%)",IF(N209&lt;0.15,"ABAIXO DA META (10-15%)",IF(N209&lt;=0.2,"DENTRO DA META (15-20%)","ACIMA DA META (&gt;20%)")))))</f>
        <v>ACIMA DA META (&gt;20%)</v>
      </c>
      <c r="P209" s="23"/>
    </row>
    <row r="210" customFormat="false" ht="15" hidden="true" customHeight="true" outlineLevel="0" collapsed="false">
      <c r="A210" s="19" t="s">
        <v>176</v>
      </c>
      <c r="B210" s="19" t="s">
        <v>173</v>
      </c>
      <c r="C210" s="19" t="s">
        <v>98</v>
      </c>
      <c r="D210" s="20" t="n">
        <v>1025.83</v>
      </c>
      <c r="E210" s="21" t="n">
        <v>0</v>
      </c>
      <c r="F210" s="20" t="n">
        <v>539.53</v>
      </c>
      <c r="G210" s="13" t="n">
        <v>135.82</v>
      </c>
      <c r="H210" s="13" t="n">
        <f aca="false">IF(D210="","",D210*(1-E210))</f>
        <v>1025.83</v>
      </c>
      <c r="I210" s="12" t="n">
        <f aca="false">IF(OR(G210="",H210=""),"",G210/H210)</f>
        <v>0.132400105280602</v>
      </c>
      <c r="J210" s="13" t="n">
        <f aca="false">IF(OR(B210="",C210=""),"",INDEX(Ref_Frete!$B$2:$G$54,MATCH(C210,Ref_Frete!$A$2:$A$54,0),IF(B210="Pequenos",2,IF(B210="Medios",4,6))))</f>
        <v>120</v>
      </c>
      <c r="K210" s="13" t="n">
        <f aca="false">IF(OR(B210="",C210=""),"",INDEX(Ref_Frete!$B$2:$G$54,MATCH(C210,Ref_Frete!$A$2:$A$54,0),IF(B210="Pequenos",1,IF(B210="Medios",3,5))))</f>
        <v>120</v>
      </c>
      <c r="L210" s="13" t="n">
        <f aca="false">IF(OR(J210="",K210=""),"",J210-K210)</f>
        <v>0</v>
      </c>
      <c r="M210" s="13" t="n">
        <f aca="false">IF(OR(H210="",F210="",G210=""),"",H210-G210-F210-H210*$B$3+IF(L210="",0,L210))</f>
        <v>247.897</v>
      </c>
      <c r="N210" s="12" t="n">
        <f aca="false">IF(OR(M210="",H210=0,H210=""),"",M210/H210)</f>
        <v>0.241655050057027</v>
      </c>
      <c r="O210" s="22" t="str">
        <f aca="false">IF(N210="","",IF(N210&lt;0,"PREJUÍZO",IF(N210&lt;0.1,"CRÍTICO (&lt;10%)",IF(N210&lt;0.15,"ABAIXO DA META (10-15%)",IF(N210&lt;=0.2,"DENTRO DA META (15-20%)","ACIMA DA META (&gt;20%)")))))</f>
        <v>ACIMA DA META (&gt;20%)</v>
      </c>
      <c r="P210" s="23"/>
    </row>
    <row r="211" customFormat="false" ht="15" hidden="true" customHeight="true" outlineLevel="0" collapsed="false">
      <c r="A211" s="19" t="s">
        <v>177</v>
      </c>
      <c r="B211" s="19" t="s">
        <v>173</v>
      </c>
      <c r="C211" s="19" t="s">
        <v>97</v>
      </c>
      <c r="D211" s="20" t="n">
        <v>1290.49</v>
      </c>
      <c r="E211" s="21" t="n">
        <v>0</v>
      </c>
      <c r="F211" s="20" t="n">
        <v>698.31</v>
      </c>
      <c r="G211" s="13" t="n">
        <v>167.58</v>
      </c>
      <c r="H211" s="13" t="n">
        <f aca="false">IF(D211="","",D211*(1-E211))</f>
        <v>1290.49</v>
      </c>
      <c r="I211" s="12" t="n">
        <f aca="false">IF(OR(G211="",H211=""),"",G211/H211)</f>
        <v>0.129857650969787</v>
      </c>
      <c r="J211" s="13" t="n">
        <f aca="false">IF(OR(B211="",C211=""),"",INDEX(Ref_Frete!$B$2:$G$54,MATCH(C211,Ref_Frete!$A$2:$A$54,0),IF(B211="Pequenos",2,IF(B211="Medios",4,6))))</f>
        <v>233</v>
      </c>
      <c r="K211" s="13" t="n">
        <f aca="false">IF(OR(B211="",C211=""),"",INDEX(Ref_Frete!$B$2:$G$54,MATCH(C211,Ref_Frete!$A$2:$A$54,0),IF(B211="Pequenos",1,IF(B211="Medios",3,5))))</f>
        <v>233</v>
      </c>
      <c r="L211" s="13" t="n">
        <f aca="false">IF(OR(J211="",K211=""),"",J211-K211)</f>
        <v>0</v>
      </c>
      <c r="M211" s="13" t="n">
        <f aca="false">IF(OR(H211="",F211="",G211=""),"",H211-G211-F211-H211*$B$3+IF(L211="",0,L211))</f>
        <v>295.551</v>
      </c>
      <c r="N211" s="12" t="n">
        <f aca="false">IF(OR(M211="",H211=0,H211=""),"",M211/H211)</f>
        <v>0.229022309355361</v>
      </c>
      <c r="O211" s="22" t="str">
        <f aca="false">IF(N211="","",IF(N211&lt;0,"PREJUÍZO",IF(N211&lt;0.1,"CRÍTICO (&lt;10%)",IF(N211&lt;0.15,"ABAIXO DA META (10-15%)",IF(N211&lt;=0.2,"DENTRO DA META (15-20%)","ACIMA DA META (&gt;20%)")))))</f>
        <v>ACIMA DA META (&gt;20%)</v>
      </c>
      <c r="P211" s="23"/>
    </row>
    <row r="212" customFormat="false" ht="15" hidden="true" customHeight="true" outlineLevel="0" collapsed="false">
      <c r="A212" s="19" t="s">
        <v>177</v>
      </c>
      <c r="B212" s="19" t="s">
        <v>173</v>
      </c>
      <c r="C212" s="19" t="s">
        <v>98</v>
      </c>
      <c r="D212" s="20" t="n">
        <v>1290.49</v>
      </c>
      <c r="E212" s="21" t="n">
        <v>0</v>
      </c>
      <c r="F212" s="20" t="n">
        <v>698.31</v>
      </c>
      <c r="G212" s="13" t="n">
        <v>167.58</v>
      </c>
      <c r="H212" s="13" t="n">
        <f aca="false">IF(D212="","",D212*(1-E212))</f>
        <v>1290.49</v>
      </c>
      <c r="I212" s="12" t="n">
        <f aca="false">IF(OR(G212="",H212=""),"",G212/H212)</f>
        <v>0.129857650969787</v>
      </c>
      <c r="J212" s="13" t="n">
        <f aca="false">IF(OR(B212="",C212=""),"",INDEX(Ref_Frete!$B$2:$G$54,MATCH(C212,Ref_Frete!$A$2:$A$54,0),IF(B212="Pequenos",2,IF(B212="Medios",4,6))))</f>
        <v>120</v>
      </c>
      <c r="K212" s="13" t="n">
        <f aca="false">IF(OR(B212="",C212=""),"",INDEX(Ref_Frete!$B$2:$G$54,MATCH(C212,Ref_Frete!$A$2:$A$54,0),IF(B212="Pequenos",1,IF(B212="Medios",3,5))))</f>
        <v>120</v>
      </c>
      <c r="L212" s="13" t="n">
        <f aca="false">IF(OR(J212="",K212=""),"",J212-K212)</f>
        <v>0</v>
      </c>
      <c r="M212" s="13" t="n">
        <f aca="false">IF(OR(H212="",F212="",G212=""),"",H212-G212-F212-H212*$B$3+IF(L212="",0,L212))</f>
        <v>295.551</v>
      </c>
      <c r="N212" s="12" t="n">
        <f aca="false">IF(OR(M212="",H212=0,H212=""),"",M212/H212)</f>
        <v>0.229022309355361</v>
      </c>
      <c r="O212" s="22" t="str">
        <f aca="false">IF(N212="","",IF(N212&lt;0,"PREJUÍZO",IF(N212&lt;0.1,"CRÍTICO (&lt;10%)",IF(N212&lt;0.15,"ABAIXO DA META (10-15%)",IF(N212&lt;=0.2,"DENTRO DA META (15-20%)","ACIMA DA META (&gt;20%)")))))</f>
        <v>ACIMA DA META (&gt;20%)</v>
      </c>
      <c r="P212" s="23"/>
    </row>
    <row r="213" customFormat="false" ht="15" hidden="true" customHeight="true" outlineLevel="0" collapsed="false">
      <c r="A213" s="19" t="s">
        <v>178</v>
      </c>
      <c r="B213" s="19" t="s">
        <v>173</v>
      </c>
      <c r="C213" s="19" t="s">
        <v>97</v>
      </c>
      <c r="D213" s="20" t="n">
        <v>923.64</v>
      </c>
      <c r="E213" s="21" t="n">
        <v>0</v>
      </c>
      <c r="F213" s="20" t="n">
        <v>478.21</v>
      </c>
      <c r="G213" s="13" t="n">
        <v>123.56</v>
      </c>
      <c r="H213" s="13" t="n">
        <f aca="false">IF(D213="","",D213*(1-E213))</f>
        <v>923.64</v>
      </c>
      <c r="I213" s="12" t="n">
        <f aca="false">IF(OR(G213="",H213=""),"",G213/H213)</f>
        <v>0.133775063877701</v>
      </c>
      <c r="J213" s="13" t="n">
        <f aca="false">IF(OR(B213="",C213=""),"",INDEX(Ref_Frete!$B$2:$G$54,MATCH(C213,Ref_Frete!$A$2:$A$54,0),IF(B213="Pequenos",2,IF(B213="Medios",4,6))))</f>
        <v>233</v>
      </c>
      <c r="K213" s="13" t="n">
        <f aca="false">IF(OR(B213="",C213=""),"",INDEX(Ref_Frete!$B$2:$G$54,MATCH(C213,Ref_Frete!$A$2:$A$54,0),IF(B213="Pequenos",1,IF(B213="Medios",3,5))))</f>
        <v>233</v>
      </c>
      <c r="L213" s="13" t="n">
        <f aca="false">IF(OR(J213="",K213=""),"",J213-K213)</f>
        <v>0</v>
      </c>
      <c r="M213" s="13" t="n">
        <f aca="false">IF(OR(H213="",F213="",G213=""),"",H213-G213-F213-H213*$B$3+IF(L213="",0,L213))</f>
        <v>229.506</v>
      </c>
      <c r="N213" s="12" t="n">
        <f aca="false">IF(OR(M213="",H213=0,H213=""),"",M213/H213)</f>
        <v>0.248479927244381</v>
      </c>
      <c r="O213" s="22" t="str">
        <f aca="false">IF(N213="","",IF(N213&lt;0,"PREJUÍZO",IF(N213&lt;0.1,"CRÍTICO (&lt;10%)",IF(N213&lt;0.15,"ABAIXO DA META (10-15%)",IF(N213&lt;=0.2,"DENTRO DA META (15-20%)","ACIMA DA META (&gt;20%)")))))</f>
        <v>ACIMA DA META (&gt;20%)</v>
      </c>
      <c r="P213" s="23"/>
    </row>
    <row r="214" customFormat="false" ht="15" hidden="true" customHeight="true" outlineLevel="0" collapsed="false">
      <c r="A214" s="19" t="s">
        <v>178</v>
      </c>
      <c r="B214" s="19" t="s">
        <v>173</v>
      </c>
      <c r="C214" s="19" t="s">
        <v>98</v>
      </c>
      <c r="D214" s="20" t="n">
        <v>923.64</v>
      </c>
      <c r="E214" s="21" t="n">
        <v>0</v>
      </c>
      <c r="F214" s="20" t="n">
        <v>478.21</v>
      </c>
      <c r="G214" s="13" t="n">
        <v>123.56</v>
      </c>
      <c r="H214" s="13" t="n">
        <f aca="false">IF(D214="","",D214*(1-E214))</f>
        <v>923.64</v>
      </c>
      <c r="I214" s="12" t="n">
        <f aca="false">IF(OR(G214="",H214=""),"",G214/H214)</f>
        <v>0.133775063877701</v>
      </c>
      <c r="J214" s="13" t="n">
        <f aca="false">IF(OR(B214="",C214=""),"",INDEX(Ref_Frete!$B$2:$G$54,MATCH(C214,Ref_Frete!$A$2:$A$54,0),IF(B214="Pequenos",2,IF(B214="Medios",4,6))))</f>
        <v>120</v>
      </c>
      <c r="K214" s="13" t="n">
        <f aca="false">IF(OR(B214="",C214=""),"",INDEX(Ref_Frete!$B$2:$G$54,MATCH(C214,Ref_Frete!$A$2:$A$54,0),IF(B214="Pequenos",1,IF(B214="Medios",3,5))))</f>
        <v>120</v>
      </c>
      <c r="L214" s="13" t="n">
        <f aca="false">IF(OR(J214="",K214=""),"",J214-K214)</f>
        <v>0</v>
      </c>
      <c r="M214" s="13" t="n">
        <f aca="false">IF(OR(H214="",F214="",G214=""),"",H214-G214-F214-H214*$B$3+IF(L214="",0,L214))</f>
        <v>229.506</v>
      </c>
      <c r="N214" s="12" t="n">
        <f aca="false">IF(OR(M214="",H214=0,H214=""),"",M214/H214)</f>
        <v>0.248479927244381</v>
      </c>
      <c r="O214" s="22" t="str">
        <f aca="false">IF(N214="","",IF(N214&lt;0,"PREJUÍZO",IF(N214&lt;0.1,"CRÍTICO (&lt;10%)",IF(N214&lt;0.15,"ABAIXO DA META (10-15%)",IF(N214&lt;=0.2,"DENTRO DA META (15-20%)","ACIMA DA META (&gt;20%)")))))</f>
        <v>ACIMA DA META (&gt;20%)</v>
      </c>
      <c r="P214" s="23"/>
    </row>
    <row r="215" customFormat="false" ht="15" hidden="true" customHeight="true" outlineLevel="0" collapsed="false">
      <c r="A215" s="19" t="s">
        <v>179</v>
      </c>
      <c r="B215" s="19" t="s">
        <v>173</v>
      </c>
      <c r="C215" s="19" t="s">
        <v>97</v>
      </c>
      <c r="D215" s="20" t="n">
        <v>1135.46</v>
      </c>
      <c r="E215" s="21" t="n">
        <v>0</v>
      </c>
      <c r="F215" s="20" t="n">
        <v>605.28</v>
      </c>
      <c r="G215" s="13" t="n">
        <v>148.98</v>
      </c>
      <c r="H215" s="13" t="n">
        <f aca="false">IF(D215="","",D215*(1-E215))</f>
        <v>1135.46</v>
      </c>
      <c r="I215" s="12" t="n">
        <f aca="false">IF(OR(G215="",H215=""),"",G215/H215)</f>
        <v>0.131206735596146</v>
      </c>
      <c r="J215" s="13" t="n">
        <f aca="false">IF(OR(B215="",C215=""),"",INDEX(Ref_Frete!$B$2:$G$54,MATCH(C215,Ref_Frete!$A$2:$A$54,0),IF(B215="Pequenos",2,IF(B215="Medios",4,6))))</f>
        <v>233</v>
      </c>
      <c r="K215" s="13" t="n">
        <f aca="false">IF(OR(B215="",C215=""),"",INDEX(Ref_Frete!$B$2:$G$54,MATCH(C215,Ref_Frete!$A$2:$A$54,0),IF(B215="Pequenos",1,IF(B215="Medios",3,5))))</f>
        <v>233</v>
      </c>
      <c r="L215" s="13" t="n">
        <f aca="false">IF(OR(J215="",K215=""),"",J215-K215)</f>
        <v>0</v>
      </c>
      <c r="M215" s="13" t="n">
        <f aca="false">IF(OR(H215="",F215="",G215=""),"",H215-G215-F215-H215*$B$3+IF(L215="",0,L215))</f>
        <v>267.654</v>
      </c>
      <c r="N215" s="12" t="n">
        <f aca="false">IF(OR(M215="",H215=0,H215=""),"",M215/H215)</f>
        <v>0.235722966903282</v>
      </c>
      <c r="O215" s="22" t="str">
        <f aca="false">IF(N215="","",IF(N215&lt;0,"PREJUÍZO",IF(N215&lt;0.1,"CRÍTICO (&lt;10%)",IF(N215&lt;0.15,"ABAIXO DA META (10-15%)",IF(N215&lt;=0.2,"DENTRO DA META (15-20%)","ACIMA DA META (&gt;20%)")))))</f>
        <v>ACIMA DA META (&gt;20%)</v>
      </c>
      <c r="P215" s="23"/>
    </row>
    <row r="216" customFormat="false" ht="15" hidden="true" customHeight="true" outlineLevel="0" collapsed="false">
      <c r="A216" s="19" t="s">
        <v>179</v>
      </c>
      <c r="B216" s="19" t="s">
        <v>173</v>
      </c>
      <c r="C216" s="19" t="s">
        <v>98</v>
      </c>
      <c r="D216" s="20" t="n">
        <v>1135.46</v>
      </c>
      <c r="E216" s="21" t="n">
        <v>0</v>
      </c>
      <c r="F216" s="20" t="n">
        <v>605.28</v>
      </c>
      <c r="G216" s="13" t="n">
        <v>148.98</v>
      </c>
      <c r="H216" s="13" t="n">
        <f aca="false">IF(D216="","",D216*(1-E216))</f>
        <v>1135.46</v>
      </c>
      <c r="I216" s="12" t="n">
        <f aca="false">IF(OR(G216="",H216=""),"",G216/H216)</f>
        <v>0.131206735596146</v>
      </c>
      <c r="J216" s="13" t="n">
        <f aca="false">IF(OR(B216="",C216=""),"",INDEX(Ref_Frete!$B$2:$G$54,MATCH(C216,Ref_Frete!$A$2:$A$54,0),IF(B216="Pequenos",2,IF(B216="Medios",4,6))))</f>
        <v>120</v>
      </c>
      <c r="K216" s="13" t="n">
        <f aca="false">IF(OR(B216="",C216=""),"",INDEX(Ref_Frete!$B$2:$G$54,MATCH(C216,Ref_Frete!$A$2:$A$54,0),IF(B216="Pequenos",1,IF(B216="Medios",3,5))))</f>
        <v>120</v>
      </c>
      <c r="L216" s="13" t="n">
        <f aca="false">IF(OR(J216="",K216=""),"",J216-K216)</f>
        <v>0</v>
      </c>
      <c r="M216" s="13" t="n">
        <f aca="false">IF(OR(H216="",F216="",G216=""),"",H216-G216-F216-H216*$B$3+IF(L216="",0,L216))</f>
        <v>267.654</v>
      </c>
      <c r="N216" s="12" t="n">
        <f aca="false">IF(OR(M216="",H216=0,H216=""),"",M216/H216)</f>
        <v>0.235722966903282</v>
      </c>
      <c r="O216" s="22" t="str">
        <f aca="false">IF(N216="","",IF(N216&lt;0,"PREJUÍZO",IF(N216&lt;0.1,"CRÍTICO (&lt;10%)",IF(N216&lt;0.15,"ABAIXO DA META (10-15%)",IF(N216&lt;=0.2,"DENTRO DA META (15-20%)","ACIMA DA META (&gt;20%)")))))</f>
        <v>ACIMA DA META (&gt;20%)</v>
      </c>
      <c r="P216" s="23"/>
    </row>
    <row r="217" customFormat="false" ht="15" hidden="true" customHeight="true" outlineLevel="0" collapsed="false">
      <c r="A217" s="19" t="s">
        <v>61</v>
      </c>
      <c r="B217" s="19" t="s">
        <v>173</v>
      </c>
      <c r="C217" s="19" t="s">
        <v>97</v>
      </c>
      <c r="D217" s="20" t="n">
        <v>1070.17</v>
      </c>
      <c r="E217" s="21" t="n">
        <v>0</v>
      </c>
      <c r="F217" s="20" t="n">
        <v>553.79</v>
      </c>
      <c r="G217" s="13" t="n">
        <v>141.14</v>
      </c>
      <c r="H217" s="13" t="n">
        <f aca="false">IF(D217="","",D217*(1-E217))</f>
        <v>1070.17</v>
      </c>
      <c r="I217" s="12" t="n">
        <f aca="false">IF(OR(G217="",H217=""),"",G217/H217)</f>
        <v>0.131885588271022</v>
      </c>
      <c r="J217" s="13" t="n">
        <f aca="false">IF(OR(B217="",C217=""),"",INDEX(Ref_Frete!$B$2:$G$54,MATCH(C217,Ref_Frete!$A$2:$A$54,0),IF(B217="Pequenos",2,IF(B217="Medios",4,6))))</f>
        <v>233</v>
      </c>
      <c r="K217" s="13" t="n">
        <f aca="false">IF(OR(B217="",C217=""),"",INDEX(Ref_Frete!$B$2:$G$54,MATCH(C217,Ref_Frete!$A$2:$A$54,0),IF(B217="Pequenos",1,IF(B217="Medios",3,5))))</f>
        <v>233</v>
      </c>
      <c r="L217" s="13" t="n">
        <f aca="false">IF(OR(J217="",K217=""),"",J217-K217)</f>
        <v>0</v>
      </c>
      <c r="M217" s="13" t="n">
        <f aca="false">IF(OR(H217="",F217="",G217=""),"",H217-G217-F217-H217*$B$3+IF(L217="",0,L217))</f>
        <v>268.223</v>
      </c>
      <c r="N217" s="12" t="n">
        <f aca="false">IF(OR(M217="",H217=0,H217=""),"",M217/H217)</f>
        <v>0.250635880280703</v>
      </c>
      <c r="O217" s="22" t="str">
        <f aca="false">IF(N217="","",IF(N217&lt;0,"PREJUÍZO",IF(N217&lt;0.1,"CRÍTICO (&lt;10%)",IF(N217&lt;0.15,"ABAIXO DA META (10-15%)",IF(N217&lt;=0.2,"DENTRO DA META (15-20%)","ACIMA DA META (&gt;20%)")))))</f>
        <v>ACIMA DA META (&gt;20%)</v>
      </c>
      <c r="P217" s="23"/>
    </row>
    <row r="218" customFormat="false" ht="15" hidden="true" customHeight="true" outlineLevel="0" collapsed="false">
      <c r="A218" s="19" t="s">
        <v>61</v>
      </c>
      <c r="B218" s="19" t="s">
        <v>173</v>
      </c>
      <c r="C218" s="19" t="s">
        <v>98</v>
      </c>
      <c r="D218" s="20" t="n">
        <v>1070.17</v>
      </c>
      <c r="E218" s="21" t="n">
        <v>0</v>
      </c>
      <c r="F218" s="20" t="n">
        <v>553.79</v>
      </c>
      <c r="G218" s="13" t="n">
        <v>141.14</v>
      </c>
      <c r="H218" s="13" t="n">
        <f aca="false">IF(D218="","",D218*(1-E218))</f>
        <v>1070.17</v>
      </c>
      <c r="I218" s="12" t="n">
        <f aca="false">IF(OR(G218="",H218=""),"",G218/H218)</f>
        <v>0.131885588271022</v>
      </c>
      <c r="J218" s="13" t="n">
        <f aca="false">IF(OR(B218="",C218=""),"",INDEX(Ref_Frete!$B$2:$G$54,MATCH(C218,Ref_Frete!$A$2:$A$54,0),IF(B218="Pequenos",2,IF(B218="Medios",4,6))))</f>
        <v>120</v>
      </c>
      <c r="K218" s="13" t="n">
        <f aca="false">IF(OR(B218="",C218=""),"",INDEX(Ref_Frete!$B$2:$G$54,MATCH(C218,Ref_Frete!$A$2:$A$54,0),IF(B218="Pequenos",1,IF(B218="Medios",3,5))))</f>
        <v>120</v>
      </c>
      <c r="L218" s="13" t="n">
        <f aca="false">IF(OR(J218="",K218=""),"",J218-K218)</f>
        <v>0</v>
      </c>
      <c r="M218" s="13" t="n">
        <f aca="false">IF(OR(H218="",F218="",G218=""),"",H218-G218-F218-H218*$B$3+IF(L218="",0,L218))</f>
        <v>268.223</v>
      </c>
      <c r="N218" s="12" t="n">
        <f aca="false">IF(OR(M218="",H218=0,H218=""),"",M218/H218)</f>
        <v>0.250635880280703</v>
      </c>
      <c r="O218" s="22" t="str">
        <f aca="false">IF(N218="","",IF(N218&lt;0,"PREJUÍZO",IF(N218&lt;0.1,"CRÍTICO (&lt;10%)",IF(N218&lt;0.15,"ABAIXO DA META (10-15%)",IF(N218&lt;=0.2,"DENTRO DA META (15-20%)","ACIMA DA META (&gt;20%)")))))</f>
        <v>ACIMA DA META (&gt;20%)</v>
      </c>
      <c r="P218" s="23"/>
    </row>
    <row r="219" customFormat="false" ht="15" hidden="true" customHeight="true" outlineLevel="0" collapsed="false">
      <c r="A219" s="19" t="s">
        <v>180</v>
      </c>
      <c r="B219" s="19" t="s">
        <v>173</v>
      </c>
      <c r="C219" s="19" t="s">
        <v>97</v>
      </c>
      <c r="D219" s="20" t="n">
        <v>1217.17</v>
      </c>
      <c r="E219" s="21" t="n">
        <v>0</v>
      </c>
      <c r="F219" s="20" t="n">
        <v>642.03</v>
      </c>
      <c r="G219" s="13" t="n">
        <v>158.78</v>
      </c>
      <c r="H219" s="13" t="n">
        <f aca="false">IF(D219="","",D219*(1-E219))</f>
        <v>1217.17</v>
      </c>
      <c r="I219" s="12" t="n">
        <f aca="false">IF(OR(G219="",H219=""),"",G219/H219)</f>
        <v>0.13045014254377</v>
      </c>
      <c r="J219" s="13" t="n">
        <f aca="false">IF(OR(B219="",C219=""),"",INDEX(Ref_Frete!$B$2:$G$54,MATCH(C219,Ref_Frete!$A$2:$A$54,0),IF(B219="Pequenos",2,IF(B219="Medios",4,6))))</f>
        <v>233</v>
      </c>
      <c r="K219" s="13" t="n">
        <f aca="false">IF(OR(B219="",C219=""),"",INDEX(Ref_Frete!$B$2:$G$54,MATCH(C219,Ref_Frete!$A$2:$A$54,0),IF(B219="Pequenos",1,IF(B219="Medios",3,5))))</f>
        <v>233</v>
      </c>
      <c r="L219" s="13" t="n">
        <f aca="false">IF(OR(J219="",K219=""),"",J219-K219)</f>
        <v>0</v>
      </c>
      <c r="M219" s="13" t="n">
        <f aca="false">IF(OR(H219="",F219="",G219=""),"",H219-G219-F219-H219*$B$3+IF(L219="",0,L219))</f>
        <v>294.643</v>
      </c>
      <c r="N219" s="12" t="n">
        <f aca="false">IF(OR(M219="",H219=0,H219=""),"",M219/H219)</f>
        <v>0.242072183836276</v>
      </c>
      <c r="O219" s="22" t="str">
        <f aca="false">IF(N219="","",IF(N219&lt;0,"PREJUÍZO",IF(N219&lt;0.1,"CRÍTICO (&lt;10%)",IF(N219&lt;0.15,"ABAIXO DA META (10-15%)",IF(N219&lt;=0.2,"DENTRO DA META (15-20%)","ACIMA DA META (&gt;20%)")))))</f>
        <v>ACIMA DA META (&gt;20%)</v>
      </c>
      <c r="P219" s="23"/>
    </row>
    <row r="220" customFormat="false" ht="15" hidden="true" customHeight="true" outlineLevel="0" collapsed="false">
      <c r="A220" s="19" t="s">
        <v>180</v>
      </c>
      <c r="B220" s="19" t="s">
        <v>173</v>
      </c>
      <c r="C220" s="19" t="s">
        <v>98</v>
      </c>
      <c r="D220" s="20" t="n">
        <v>1217.17</v>
      </c>
      <c r="E220" s="21" t="n">
        <v>0</v>
      </c>
      <c r="F220" s="20" t="n">
        <v>642.03</v>
      </c>
      <c r="G220" s="13" t="n">
        <v>158.78</v>
      </c>
      <c r="H220" s="13" t="n">
        <f aca="false">IF(D220="","",D220*(1-E220))</f>
        <v>1217.17</v>
      </c>
      <c r="I220" s="12" t="n">
        <f aca="false">IF(OR(G220="",H220=""),"",G220/H220)</f>
        <v>0.13045014254377</v>
      </c>
      <c r="J220" s="13" t="n">
        <f aca="false">IF(OR(B220="",C220=""),"",INDEX(Ref_Frete!$B$2:$G$54,MATCH(C220,Ref_Frete!$A$2:$A$54,0),IF(B220="Pequenos",2,IF(B220="Medios",4,6))))</f>
        <v>120</v>
      </c>
      <c r="K220" s="13" t="n">
        <f aca="false">IF(OR(B220="",C220=""),"",INDEX(Ref_Frete!$B$2:$G$54,MATCH(C220,Ref_Frete!$A$2:$A$54,0),IF(B220="Pequenos",1,IF(B220="Medios",3,5))))</f>
        <v>120</v>
      </c>
      <c r="L220" s="13" t="n">
        <f aca="false">IF(OR(J220="",K220=""),"",J220-K220)</f>
        <v>0</v>
      </c>
      <c r="M220" s="13" t="n">
        <f aca="false">IF(OR(H220="",F220="",G220=""),"",H220-G220-F220-H220*$B$3+IF(L220="",0,L220))</f>
        <v>294.643</v>
      </c>
      <c r="N220" s="12" t="n">
        <f aca="false">IF(OR(M220="",H220=0,H220=""),"",M220/H220)</f>
        <v>0.242072183836276</v>
      </c>
      <c r="O220" s="22" t="str">
        <f aca="false">IF(N220="","",IF(N220&lt;0,"PREJUÍZO",IF(N220&lt;0.1,"CRÍTICO (&lt;10%)",IF(N220&lt;0.15,"ABAIXO DA META (10-15%)",IF(N220&lt;=0.2,"DENTRO DA META (15-20%)","ACIMA DA META (&gt;20%)")))))</f>
        <v>ACIMA DA META (&gt;20%)</v>
      </c>
      <c r="P220" s="23"/>
    </row>
    <row r="221" customFormat="false" ht="15" hidden="true" customHeight="true" outlineLevel="0" collapsed="false">
      <c r="A221" s="19" t="s">
        <v>181</v>
      </c>
      <c r="B221" s="19" t="s">
        <v>173</v>
      </c>
      <c r="C221" s="19" t="s">
        <v>97</v>
      </c>
      <c r="D221" s="20" t="n">
        <v>1433.32</v>
      </c>
      <c r="E221" s="21" t="n">
        <v>0</v>
      </c>
      <c r="F221" s="20" t="n">
        <v>771.68</v>
      </c>
      <c r="G221" s="13" t="n">
        <v>184.72</v>
      </c>
      <c r="H221" s="13" t="n">
        <f aca="false">IF(D221="","",D221*(1-E221))</f>
        <v>1433.32</v>
      </c>
      <c r="I221" s="12" t="n">
        <f aca="false">IF(OR(G221="",H221=""),"",G221/H221)</f>
        <v>0.128875617447604</v>
      </c>
      <c r="J221" s="13" t="n">
        <f aca="false">IF(OR(B221="",C221=""),"",INDEX(Ref_Frete!$B$2:$G$54,MATCH(C221,Ref_Frete!$A$2:$A$54,0),IF(B221="Pequenos",2,IF(B221="Medios",4,6))))</f>
        <v>233</v>
      </c>
      <c r="K221" s="13" t="n">
        <f aca="false">IF(OR(B221="",C221=""),"",INDEX(Ref_Frete!$B$2:$G$54,MATCH(C221,Ref_Frete!$A$2:$A$54,0),IF(B221="Pequenos",1,IF(B221="Medios",3,5))))</f>
        <v>233</v>
      </c>
      <c r="L221" s="13" t="n">
        <f aca="false">IF(OR(J221="",K221=""),"",J221-K221)</f>
        <v>0</v>
      </c>
      <c r="M221" s="13" t="n">
        <f aca="false">IF(OR(H221="",F221="",G221=""),"",H221-G221-F221-H221*$B$3+IF(L221="",0,L221))</f>
        <v>333.588</v>
      </c>
      <c r="N221" s="12" t="n">
        <f aca="false">IF(OR(M221="",H221=0,H221=""),"",M221/H221)</f>
        <v>0.232737978957944</v>
      </c>
      <c r="O221" s="22" t="str">
        <f aca="false">IF(N221="","",IF(N221&lt;0,"PREJUÍZO",IF(N221&lt;0.1,"CRÍTICO (&lt;10%)",IF(N221&lt;0.15,"ABAIXO DA META (10-15%)",IF(N221&lt;=0.2,"DENTRO DA META (15-20%)","ACIMA DA META (&gt;20%)")))))</f>
        <v>ACIMA DA META (&gt;20%)</v>
      </c>
      <c r="P221" s="23"/>
    </row>
    <row r="222" customFormat="false" ht="15" hidden="true" customHeight="true" outlineLevel="0" collapsed="false">
      <c r="A222" s="19" t="s">
        <v>181</v>
      </c>
      <c r="B222" s="19" t="s">
        <v>173</v>
      </c>
      <c r="C222" s="19" t="s">
        <v>98</v>
      </c>
      <c r="D222" s="20" t="n">
        <v>1433.32</v>
      </c>
      <c r="E222" s="21" t="n">
        <v>0</v>
      </c>
      <c r="F222" s="20" t="n">
        <v>771.68</v>
      </c>
      <c r="G222" s="13" t="n">
        <v>184.72</v>
      </c>
      <c r="H222" s="13" t="n">
        <f aca="false">IF(D222="","",D222*(1-E222))</f>
        <v>1433.32</v>
      </c>
      <c r="I222" s="12" t="n">
        <f aca="false">IF(OR(G222="",H222=""),"",G222/H222)</f>
        <v>0.128875617447604</v>
      </c>
      <c r="J222" s="13" t="n">
        <f aca="false">IF(OR(B222="",C222=""),"",INDEX(Ref_Frete!$B$2:$G$54,MATCH(C222,Ref_Frete!$A$2:$A$54,0),IF(B222="Pequenos",2,IF(B222="Medios",4,6))))</f>
        <v>120</v>
      </c>
      <c r="K222" s="13" t="n">
        <f aca="false">IF(OR(B222="",C222=""),"",INDEX(Ref_Frete!$B$2:$G$54,MATCH(C222,Ref_Frete!$A$2:$A$54,0),IF(B222="Pequenos",1,IF(B222="Medios",3,5))))</f>
        <v>120</v>
      </c>
      <c r="L222" s="13" t="n">
        <f aca="false">IF(OR(J222="",K222=""),"",J222-K222)</f>
        <v>0</v>
      </c>
      <c r="M222" s="13" t="n">
        <f aca="false">IF(OR(H222="",F222="",G222=""),"",H222-G222-F222-H222*$B$3+IF(L222="",0,L222))</f>
        <v>333.588</v>
      </c>
      <c r="N222" s="12" t="n">
        <f aca="false">IF(OR(M222="",H222=0,H222=""),"",M222/H222)</f>
        <v>0.232737978957944</v>
      </c>
      <c r="O222" s="22" t="str">
        <f aca="false">IF(N222="","",IF(N222&lt;0,"PREJUÍZO",IF(N222&lt;0.1,"CRÍTICO (&lt;10%)",IF(N222&lt;0.15,"ABAIXO DA META (10-15%)",IF(N222&lt;=0.2,"DENTRO DA META (15-20%)","ACIMA DA META (&gt;20%)")))))</f>
        <v>ACIMA DA META (&gt;20%)</v>
      </c>
      <c r="P222" s="23"/>
    </row>
    <row r="223" customFormat="false" ht="15" hidden="true" customHeight="true" outlineLevel="0" collapsed="false">
      <c r="A223" s="19" t="s">
        <v>182</v>
      </c>
      <c r="B223" s="19" t="s">
        <v>173</v>
      </c>
      <c r="C223" s="19" t="s">
        <v>97</v>
      </c>
      <c r="D223" s="20" t="n">
        <v>1527.88</v>
      </c>
      <c r="E223" s="21" t="n">
        <v>0</v>
      </c>
      <c r="F223" s="20" t="n">
        <v>828.46</v>
      </c>
      <c r="G223" s="13" t="n">
        <v>196.07</v>
      </c>
      <c r="H223" s="13" t="n">
        <f aca="false">IF(D223="","",D223*(1-E223))</f>
        <v>1527.88</v>
      </c>
      <c r="I223" s="12" t="n">
        <f aca="false">IF(OR(G223="",H223=""),"",G223/H223)</f>
        <v>0.128328140953478</v>
      </c>
      <c r="J223" s="13" t="n">
        <f aca="false">IF(OR(B223="",C223=""),"",INDEX(Ref_Frete!$B$2:$G$54,MATCH(C223,Ref_Frete!$A$2:$A$54,0),IF(B223="Pequenos",2,IF(B223="Medios",4,6))))</f>
        <v>233</v>
      </c>
      <c r="K223" s="13" t="n">
        <f aca="false">IF(OR(B223="",C223=""),"",INDEX(Ref_Frete!$B$2:$G$54,MATCH(C223,Ref_Frete!$A$2:$A$54,0),IF(B223="Pequenos",1,IF(B223="Medios",3,5))))</f>
        <v>233</v>
      </c>
      <c r="L223" s="13" t="n">
        <f aca="false">IF(OR(J223="",K223=""),"",J223-K223)</f>
        <v>0</v>
      </c>
      <c r="M223" s="13" t="n">
        <f aca="false">IF(OR(H223="",F223="",G223=""),"",H223-G223-F223-H223*$B$3+IF(L223="",0,L223))</f>
        <v>350.562</v>
      </c>
      <c r="N223" s="12" t="n">
        <f aca="false">IF(OR(M223="",H223=0,H223=""),"",M223/H223)</f>
        <v>0.229443411786266</v>
      </c>
      <c r="O223" s="22" t="str">
        <f aca="false">IF(N223="","",IF(N223&lt;0,"PREJUÍZO",IF(N223&lt;0.1,"CRÍTICO (&lt;10%)",IF(N223&lt;0.15,"ABAIXO DA META (10-15%)",IF(N223&lt;=0.2,"DENTRO DA META (15-20%)","ACIMA DA META (&gt;20%)")))))</f>
        <v>ACIMA DA META (&gt;20%)</v>
      </c>
      <c r="P223" s="23"/>
    </row>
    <row r="224" customFormat="false" ht="15" hidden="true" customHeight="true" outlineLevel="0" collapsed="false">
      <c r="A224" s="19" t="s">
        <v>182</v>
      </c>
      <c r="B224" s="19" t="s">
        <v>173</v>
      </c>
      <c r="C224" s="19" t="s">
        <v>98</v>
      </c>
      <c r="D224" s="20" t="n">
        <v>1527.88</v>
      </c>
      <c r="E224" s="21" t="n">
        <v>0</v>
      </c>
      <c r="F224" s="20" t="n">
        <v>828.46</v>
      </c>
      <c r="G224" s="13" t="n">
        <v>196.07</v>
      </c>
      <c r="H224" s="13" t="n">
        <f aca="false">IF(D224="","",D224*(1-E224))</f>
        <v>1527.88</v>
      </c>
      <c r="I224" s="12" t="n">
        <f aca="false">IF(OR(G224="",H224=""),"",G224/H224)</f>
        <v>0.128328140953478</v>
      </c>
      <c r="J224" s="13" t="n">
        <f aca="false">IF(OR(B224="",C224=""),"",INDEX(Ref_Frete!$B$2:$G$54,MATCH(C224,Ref_Frete!$A$2:$A$54,0),IF(B224="Pequenos",2,IF(B224="Medios",4,6))))</f>
        <v>120</v>
      </c>
      <c r="K224" s="13" t="n">
        <f aca="false">IF(OR(B224="",C224=""),"",INDEX(Ref_Frete!$B$2:$G$54,MATCH(C224,Ref_Frete!$A$2:$A$54,0),IF(B224="Pequenos",1,IF(B224="Medios",3,5))))</f>
        <v>120</v>
      </c>
      <c r="L224" s="13" t="n">
        <f aca="false">IF(OR(J224="",K224=""),"",J224-K224)</f>
        <v>0</v>
      </c>
      <c r="M224" s="13" t="n">
        <f aca="false">IF(OR(H224="",F224="",G224=""),"",H224-G224-F224-H224*$B$3+IF(L224="",0,L224))</f>
        <v>350.562</v>
      </c>
      <c r="N224" s="12" t="n">
        <f aca="false">IF(OR(M224="",H224=0,H224=""),"",M224/H224)</f>
        <v>0.229443411786266</v>
      </c>
      <c r="O224" s="22" t="str">
        <f aca="false">IF(N224="","",IF(N224&lt;0,"PREJUÍZO",IF(N224&lt;0.1,"CRÍTICO (&lt;10%)",IF(N224&lt;0.15,"ABAIXO DA META (10-15%)",IF(N224&lt;=0.2,"DENTRO DA META (15-20%)","ACIMA DA META (&gt;20%)")))))</f>
        <v>ACIMA DA META (&gt;20%)</v>
      </c>
      <c r="P224" s="23"/>
    </row>
    <row r="225" customFormat="false" ht="15" hidden="true" customHeight="true" outlineLevel="0" collapsed="false">
      <c r="A225" s="19" t="s">
        <v>183</v>
      </c>
      <c r="B225" s="19" t="s">
        <v>173</v>
      </c>
      <c r="C225" s="19" t="s">
        <v>97</v>
      </c>
      <c r="D225" s="20" t="n">
        <v>639.57</v>
      </c>
      <c r="E225" s="21" t="n">
        <v>0</v>
      </c>
      <c r="F225" s="20" t="n">
        <v>329.27</v>
      </c>
      <c r="G225" s="13" t="n">
        <v>89.47</v>
      </c>
      <c r="H225" s="13" t="n">
        <f aca="false">IF(D225="","",D225*(1-E225))</f>
        <v>639.57</v>
      </c>
      <c r="I225" s="12" t="n">
        <f aca="false">IF(OR(G225="",H225=""),"",G225/H225)</f>
        <v>0.139890864174367</v>
      </c>
      <c r="J225" s="13" t="n">
        <f aca="false">IF(OR(B225="",C225=""),"",INDEX(Ref_Frete!$B$2:$G$54,MATCH(C225,Ref_Frete!$A$2:$A$54,0),IF(B225="Pequenos",2,IF(B225="Medios",4,6))))</f>
        <v>233</v>
      </c>
      <c r="K225" s="13" t="n">
        <f aca="false">IF(OR(B225="",C225=""),"",INDEX(Ref_Frete!$B$2:$G$54,MATCH(C225,Ref_Frete!$A$2:$A$54,0),IF(B225="Pequenos",1,IF(B225="Medios",3,5))))</f>
        <v>233</v>
      </c>
      <c r="L225" s="13" t="n">
        <f aca="false">IF(OR(J225="",K225=""),"",J225-K225)</f>
        <v>0</v>
      </c>
      <c r="M225" s="13" t="n">
        <f aca="false">IF(OR(H225="",F225="",G225=""),"",H225-G225-F225-H225*$B$3+IF(L225="",0,L225))</f>
        <v>156.873</v>
      </c>
      <c r="N225" s="12" t="n">
        <f aca="false">IF(OR(M225="",H225=0,H225=""),"",M225/H225)</f>
        <v>0.245278859233548</v>
      </c>
      <c r="O225" s="22" t="str">
        <f aca="false">IF(N225="","",IF(N225&lt;0,"PREJUÍZO",IF(N225&lt;0.1,"CRÍTICO (&lt;10%)",IF(N225&lt;0.15,"ABAIXO DA META (10-15%)",IF(N225&lt;=0.2,"DENTRO DA META (15-20%)","ACIMA DA META (&gt;20%)")))))</f>
        <v>ACIMA DA META (&gt;20%)</v>
      </c>
      <c r="P225" s="23"/>
    </row>
    <row r="226" customFormat="false" ht="15" hidden="true" customHeight="true" outlineLevel="0" collapsed="false">
      <c r="A226" s="19" t="s">
        <v>183</v>
      </c>
      <c r="B226" s="19" t="s">
        <v>173</v>
      </c>
      <c r="C226" s="19" t="s">
        <v>98</v>
      </c>
      <c r="D226" s="20" t="n">
        <v>639.57</v>
      </c>
      <c r="E226" s="21" t="n">
        <v>0</v>
      </c>
      <c r="F226" s="20" t="n">
        <v>329.27</v>
      </c>
      <c r="G226" s="13" t="n">
        <v>89.47</v>
      </c>
      <c r="H226" s="13" t="n">
        <f aca="false">IF(D226="","",D226*(1-E226))</f>
        <v>639.57</v>
      </c>
      <c r="I226" s="12" t="n">
        <f aca="false">IF(OR(G226="",H226=""),"",G226/H226)</f>
        <v>0.139890864174367</v>
      </c>
      <c r="J226" s="13" t="n">
        <f aca="false">IF(OR(B226="",C226=""),"",INDEX(Ref_Frete!$B$2:$G$54,MATCH(C226,Ref_Frete!$A$2:$A$54,0),IF(B226="Pequenos",2,IF(B226="Medios",4,6))))</f>
        <v>120</v>
      </c>
      <c r="K226" s="13" t="n">
        <f aca="false">IF(OR(B226="",C226=""),"",INDEX(Ref_Frete!$B$2:$G$54,MATCH(C226,Ref_Frete!$A$2:$A$54,0),IF(B226="Pequenos",1,IF(B226="Medios",3,5))))</f>
        <v>120</v>
      </c>
      <c r="L226" s="13" t="n">
        <f aca="false">IF(OR(J226="",K226=""),"",J226-K226)</f>
        <v>0</v>
      </c>
      <c r="M226" s="13" t="n">
        <f aca="false">IF(OR(H226="",F226="",G226=""),"",H226-G226-F226-H226*$B$3+IF(L226="",0,L226))</f>
        <v>156.873</v>
      </c>
      <c r="N226" s="12" t="n">
        <f aca="false">IF(OR(M226="",H226=0,H226=""),"",M226/H226)</f>
        <v>0.245278859233548</v>
      </c>
      <c r="O226" s="22" t="str">
        <f aca="false">IF(N226="","",IF(N226&lt;0,"PREJUÍZO",IF(N226&lt;0.1,"CRÍTICO (&lt;10%)",IF(N226&lt;0.15,"ABAIXO DA META (10-15%)",IF(N226&lt;=0.2,"DENTRO DA META (15-20%)","ACIMA DA META (&gt;20%)")))))</f>
        <v>ACIMA DA META (&gt;20%)</v>
      </c>
      <c r="P226" s="23"/>
    </row>
    <row r="227" customFormat="false" ht="15" hidden="true" customHeight="true" outlineLevel="0" collapsed="false">
      <c r="A227" s="19" t="s">
        <v>184</v>
      </c>
      <c r="B227" s="19" t="s">
        <v>173</v>
      </c>
      <c r="C227" s="19" t="s">
        <v>97</v>
      </c>
      <c r="D227" s="20" t="n">
        <v>1053.17</v>
      </c>
      <c r="E227" s="21" t="n">
        <v>0</v>
      </c>
      <c r="F227" s="20" t="n">
        <v>580.13</v>
      </c>
      <c r="G227" s="13" t="n">
        <v>139.1</v>
      </c>
      <c r="H227" s="13" t="n">
        <f aca="false">IF(D227="","",D227*(1-E227))</f>
        <v>1053.17</v>
      </c>
      <c r="I227" s="12" t="n">
        <f aca="false">IF(OR(G227="",H227=""),"",G227/H227)</f>
        <v>0.132077442388218</v>
      </c>
      <c r="J227" s="13" t="n">
        <f aca="false">IF(OR(B227="",C227=""),"",INDEX(Ref_Frete!$B$2:$G$54,MATCH(C227,Ref_Frete!$A$2:$A$54,0),IF(B227="Pequenos",2,IF(B227="Medios",4,6))))</f>
        <v>233</v>
      </c>
      <c r="K227" s="13" t="n">
        <f aca="false">IF(OR(B227="",C227=""),"",INDEX(Ref_Frete!$B$2:$G$54,MATCH(C227,Ref_Frete!$A$2:$A$54,0),IF(B227="Pequenos",1,IF(B227="Medios",3,5))))</f>
        <v>233</v>
      </c>
      <c r="L227" s="13" t="n">
        <f aca="false">IF(OR(J227="",K227=""),"",J227-K227)</f>
        <v>0</v>
      </c>
      <c r="M227" s="13" t="n">
        <f aca="false">IF(OR(H227="",F227="",G227=""),"",H227-G227-F227-H227*$B$3+IF(L227="",0,L227))</f>
        <v>228.623</v>
      </c>
      <c r="N227" s="12" t="n">
        <f aca="false">IF(OR(M227="",H227=0,H227=""),"",M227/H227)</f>
        <v>0.217080813164067</v>
      </c>
      <c r="O227" s="22" t="str">
        <f aca="false">IF(N227="","",IF(N227&lt;0,"PREJUÍZO",IF(N227&lt;0.1,"CRÍTICO (&lt;10%)",IF(N227&lt;0.15,"ABAIXO DA META (10-15%)",IF(N227&lt;=0.2,"DENTRO DA META (15-20%)","ACIMA DA META (&gt;20%)")))))</f>
        <v>ACIMA DA META (&gt;20%)</v>
      </c>
      <c r="P227" s="23"/>
    </row>
    <row r="228" customFormat="false" ht="15" hidden="true" customHeight="true" outlineLevel="0" collapsed="false">
      <c r="A228" s="19" t="s">
        <v>184</v>
      </c>
      <c r="B228" s="19" t="s">
        <v>173</v>
      </c>
      <c r="C228" s="19" t="s">
        <v>98</v>
      </c>
      <c r="D228" s="20" t="n">
        <v>1053.17</v>
      </c>
      <c r="E228" s="21" t="n">
        <v>0</v>
      </c>
      <c r="F228" s="20" t="n">
        <v>580.13</v>
      </c>
      <c r="G228" s="13" t="n">
        <v>139.1</v>
      </c>
      <c r="H228" s="13" t="n">
        <f aca="false">IF(D228="","",D228*(1-E228))</f>
        <v>1053.17</v>
      </c>
      <c r="I228" s="12" t="n">
        <f aca="false">IF(OR(G228="",H228=""),"",G228/H228)</f>
        <v>0.132077442388218</v>
      </c>
      <c r="J228" s="13" t="n">
        <f aca="false">IF(OR(B228="",C228=""),"",INDEX(Ref_Frete!$B$2:$G$54,MATCH(C228,Ref_Frete!$A$2:$A$54,0),IF(B228="Pequenos",2,IF(B228="Medios",4,6))))</f>
        <v>120</v>
      </c>
      <c r="K228" s="13" t="n">
        <f aca="false">IF(OR(B228="",C228=""),"",INDEX(Ref_Frete!$B$2:$G$54,MATCH(C228,Ref_Frete!$A$2:$A$54,0),IF(B228="Pequenos",1,IF(B228="Medios",3,5))))</f>
        <v>120</v>
      </c>
      <c r="L228" s="13" t="n">
        <f aca="false">IF(OR(J228="",K228=""),"",J228-K228)</f>
        <v>0</v>
      </c>
      <c r="M228" s="13" t="n">
        <f aca="false">IF(OR(H228="",F228="",G228=""),"",H228-G228-F228-H228*$B$3+IF(L228="",0,L228))</f>
        <v>228.623</v>
      </c>
      <c r="N228" s="12" t="n">
        <f aca="false">IF(OR(M228="",H228=0,H228=""),"",M228/H228)</f>
        <v>0.217080813164067</v>
      </c>
      <c r="O228" s="22" t="str">
        <f aca="false">IF(N228="","",IF(N228&lt;0,"PREJUÍZO",IF(N228&lt;0.1,"CRÍTICO (&lt;10%)",IF(N228&lt;0.15,"ABAIXO DA META (10-15%)",IF(N228&lt;=0.2,"DENTRO DA META (15-20%)","ACIMA DA META (&gt;20%)")))))</f>
        <v>ACIMA DA META (&gt;20%)</v>
      </c>
      <c r="P228" s="23"/>
    </row>
    <row r="229" customFormat="false" ht="15" hidden="true" customHeight="true" outlineLevel="0" collapsed="false">
      <c r="A229" s="19" t="s">
        <v>185</v>
      </c>
      <c r="B229" s="19" t="s">
        <v>173</v>
      </c>
      <c r="C229" s="19" t="s">
        <v>97</v>
      </c>
      <c r="D229" s="20" t="n">
        <v>1116.81</v>
      </c>
      <c r="E229" s="21" t="n">
        <v>0</v>
      </c>
      <c r="F229" s="20" t="n">
        <v>619.95</v>
      </c>
      <c r="G229" s="13" t="n">
        <v>146.74</v>
      </c>
      <c r="H229" s="13" t="n">
        <f aca="false">IF(D229="","",D229*(1-E229))</f>
        <v>1116.81</v>
      </c>
      <c r="I229" s="12" t="n">
        <f aca="false">IF(OR(G229="",H229=""),"",G229/H229)</f>
        <v>0.131392089970541</v>
      </c>
      <c r="J229" s="13" t="n">
        <f aca="false">IF(OR(B229="",C229=""),"",INDEX(Ref_Frete!$B$2:$G$54,MATCH(C229,Ref_Frete!$A$2:$A$54,0),IF(B229="Pequenos",2,IF(B229="Medios",4,6))))</f>
        <v>233</v>
      </c>
      <c r="K229" s="13" t="n">
        <f aca="false">IF(OR(B229="",C229=""),"",INDEX(Ref_Frete!$B$2:$G$54,MATCH(C229,Ref_Frete!$A$2:$A$54,0),IF(B229="Pequenos",1,IF(B229="Medios",3,5))))</f>
        <v>233</v>
      </c>
      <c r="L229" s="13" t="n">
        <f aca="false">IF(OR(J229="",K229=""),"",J229-K229)</f>
        <v>0</v>
      </c>
      <c r="M229" s="13" t="n">
        <f aca="false">IF(OR(H229="",F229="",G229=""),"",H229-G229-F229-H229*$B$3+IF(L229="",0,L229))</f>
        <v>238.439</v>
      </c>
      <c r="N229" s="12" t="n">
        <f aca="false">IF(OR(M229="",H229=0,H229=""),"",M229/H229)</f>
        <v>0.213500058201485</v>
      </c>
      <c r="O229" s="22" t="str">
        <f aca="false">IF(N229="","",IF(N229&lt;0,"PREJUÍZO",IF(N229&lt;0.1,"CRÍTICO (&lt;10%)",IF(N229&lt;0.15,"ABAIXO DA META (10-15%)",IF(N229&lt;=0.2,"DENTRO DA META (15-20%)","ACIMA DA META (&gt;20%)")))))</f>
        <v>ACIMA DA META (&gt;20%)</v>
      </c>
      <c r="P229" s="23"/>
    </row>
    <row r="230" customFormat="false" ht="15" hidden="true" customHeight="true" outlineLevel="0" collapsed="false">
      <c r="A230" s="19" t="s">
        <v>185</v>
      </c>
      <c r="B230" s="19" t="s">
        <v>173</v>
      </c>
      <c r="C230" s="19" t="s">
        <v>98</v>
      </c>
      <c r="D230" s="20" t="n">
        <v>1116.81</v>
      </c>
      <c r="E230" s="21" t="n">
        <v>0</v>
      </c>
      <c r="F230" s="20" t="n">
        <v>619.95</v>
      </c>
      <c r="G230" s="13" t="n">
        <v>146.74</v>
      </c>
      <c r="H230" s="13" t="n">
        <f aca="false">IF(D230="","",D230*(1-E230))</f>
        <v>1116.81</v>
      </c>
      <c r="I230" s="12" t="n">
        <f aca="false">IF(OR(G230="",H230=""),"",G230/H230)</f>
        <v>0.131392089970541</v>
      </c>
      <c r="J230" s="13" t="n">
        <f aca="false">IF(OR(B230="",C230=""),"",INDEX(Ref_Frete!$B$2:$G$54,MATCH(C230,Ref_Frete!$A$2:$A$54,0),IF(B230="Pequenos",2,IF(B230="Medios",4,6))))</f>
        <v>120</v>
      </c>
      <c r="K230" s="13" t="n">
        <f aca="false">IF(OR(B230="",C230=""),"",INDEX(Ref_Frete!$B$2:$G$54,MATCH(C230,Ref_Frete!$A$2:$A$54,0),IF(B230="Pequenos",1,IF(B230="Medios",3,5))))</f>
        <v>120</v>
      </c>
      <c r="L230" s="13" t="n">
        <f aca="false">IF(OR(J230="",K230=""),"",J230-K230)</f>
        <v>0</v>
      </c>
      <c r="M230" s="13" t="n">
        <f aca="false">IF(OR(H230="",F230="",G230=""),"",H230-G230-F230-H230*$B$3+IF(L230="",0,L230))</f>
        <v>238.439</v>
      </c>
      <c r="N230" s="12" t="n">
        <f aca="false">IF(OR(M230="",H230=0,H230=""),"",M230/H230)</f>
        <v>0.213500058201485</v>
      </c>
      <c r="O230" s="22" t="str">
        <f aca="false">IF(N230="","",IF(N230&lt;0,"PREJUÍZO",IF(N230&lt;0.1,"CRÍTICO (&lt;10%)",IF(N230&lt;0.15,"ABAIXO DA META (10-15%)",IF(N230&lt;=0.2,"DENTRO DA META (15-20%)","ACIMA DA META (&gt;20%)")))))</f>
        <v>ACIMA DA META (&gt;20%)</v>
      </c>
      <c r="P230" s="23"/>
    </row>
    <row r="231" customFormat="false" ht="32.25" hidden="true" customHeight="true" outlineLevel="0" collapsed="false">
      <c r="A231" s="19" t="s">
        <v>186</v>
      </c>
      <c r="B231" s="19" t="s">
        <v>130</v>
      </c>
      <c r="C231" s="19" t="s">
        <v>97</v>
      </c>
      <c r="D231" s="20" t="n">
        <v>462.37</v>
      </c>
      <c r="E231" s="21" t="n">
        <v>0</v>
      </c>
      <c r="F231" s="20" t="n">
        <v>238.66</v>
      </c>
      <c r="G231" s="13" t="n">
        <v>68.2</v>
      </c>
      <c r="H231" s="13" t="n">
        <f aca="false">IF(D231="","",D231*(1-E231))</f>
        <v>462.37</v>
      </c>
      <c r="I231" s="12" t="n">
        <f aca="false">IF(OR(G231="",H231=""),"",G231/H231)</f>
        <v>0.147500919177282</v>
      </c>
      <c r="J231" s="13" t="n">
        <f aca="false">IF(OR(B231="",C231=""),"",INDEX(Ref_Frete!$B$2:$G$54,MATCH(C231,Ref_Frete!$A$2:$A$54,0),IF(B231="Pequenos",2,IF(B231="Medios",4,6))))</f>
        <v>59.9</v>
      </c>
      <c r="K231" s="13" t="n">
        <f aca="false">IF(OR(B231="",C231=""),"",INDEX(Ref_Frete!$B$2:$G$54,MATCH(C231,Ref_Frete!$A$2:$A$54,0),IF(B231="Pequenos",1,IF(B231="Medios",3,5))))</f>
        <v>89</v>
      </c>
      <c r="L231" s="13" t="n">
        <f aca="false">IF(OR(J231="",K231=""),"",J231-K231)</f>
        <v>-29.1</v>
      </c>
      <c r="M231" s="13" t="n">
        <f aca="false">IF(OR(H231="",F231="",G231=""),"",H231-G231-F231-H231*$B$3+IF(L231="",0,L231))</f>
        <v>80.173</v>
      </c>
      <c r="N231" s="12" t="n">
        <f aca="false">IF(OR(M231="",H231=0,H231=""),"",M231/H231)</f>
        <v>0.173395765296191</v>
      </c>
      <c r="O231" s="22" t="str">
        <f aca="false">IF(N231="","",IF(N231&lt;0,"PREJUÍZO",IF(N231&lt;0.1,"CRÍTICO (&lt;10%)",IF(N231&lt;0.15,"ABAIXO DA META (10-15%)",IF(N231&lt;=0.2,"DENTRO DA META (15-20%)","ACIMA DA META (&gt;20%)")))))</f>
        <v>DENTRO DA META (15-20%)</v>
      </c>
      <c r="P231" s="23" t="s">
        <v>187</v>
      </c>
    </row>
    <row r="232" customFormat="false" ht="32.25" hidden="true" customHeight="true" outlineLevel="0" collapsed="false">
      <c r="A232" s="19" t="s">
        <v>186</v>
      </c>
      <c r="B232" s="19" t="s">
        <v>130</v>
      </c>
      <c r="C232" s="19" t="s">
        <v>98</v>
      </c>
      <c r="D232" s="20" t="n">
        <v>462.37</v>
      </c>
      <c r="E232" s="21" t="n">
        <v>0</v>
      </c>
      <c r="F232" s="20" t="n">
        <v>238.66</v>
      </c>
      <c r="G232" s="13" t="n">
        <v>68.2</v>
      </c>
      <c r="H232" s="13" t="n">
        <f aca="false">IF(D232="","",D232*(1-E232))</f>
        <v>462.37</v>
      </c>
      <c r="I232" s="12" t="n">
        <f aca="false">IF(OR(G232="",H232=""),"",G232/H232)</f>
        <v>0.147500919177282</v>
      </c>
      <c r="J232" s="13" t="n">
        <f aca="false">IF(OR(B232="",C232=""),"",INDEX(Ref_Frete!$B$2:$G$54,MATCH(C232,Ref_Frete!$A$2:$A$54,0),IF(B232="Pequenos",2,IF(B232="Medios",4,6))))</f>
        <v>39.9</v>
      </c>
      <c r="K232" s="13" t="n">
        <f aca="false">IF(OR(B232="",C232=""),"",INDEX(Ref_Frete!$B$2:$G$54,MATCH(C232,Ref_Frete!$A$2:$A$54,0),IF(B232="Pequenos",1,IF(B232="Medios",3,5))))</f>
        <v>49</v>
      </c>
      <c r="L232" s="13" t="n">
        <f aca="false">IF(OR(J232="",K232=""),"",J232-K232)</f>
        <v>-9.1</v>
      </c>
      <c r="M232" s="13" t="n">
        <f aca="false">IF(OR(H232="",F232="",G232=""),"",H232-G232-F232-H232*$B$3+IF(L232="",0,L232))</f>
        <v>100.173</v>
      </c>
      <c r="N232" s="12" t="n">
        <f aca="false">IF(OR(M232="",H232=0,H232=""),"",M232/H232)</f>
        <v>0.216651166814456</v>
      </c>
      <c r="O232" s="22" t="str">
        <f aca="false">IF(N232="","",IF(N232&lt;0,"PREJUÍZO",IF(N232&lt;0.1,"CRÍTICO (&lt;10%)",IF(N232&lt;0.15,"ABAIXO DA META (10-15%)",IF(N232&lt;=0.2,"DENTRO DA META (15-20%)","ACIMA DA META (&gt;20%)")))))</f>
        <v>ACIMA DA META (&gt;20%)</v>
      </c>
      <c r="P232" s="23" t="s">
        <v>187</v>
      </c>
    </row>
  </sheetData>
  <autoFilter ref="A6:P232">
    <filterColumn colId="1">
      <filters>
        <filter val="Medios"/>
        <filter val="Pequenos"/>
      </filters>
    </filterColumn>
    <filterColumn colId="2">
      <filters>
        <filter val="São Paulo Interior"/>
      </filters>
    </filterColumn>
    <filterColumn colId="13">
      <customFilters and="true">
        <customFilter operator="greaterThanOrEqual" val="0.19"/>
      </customFilters>
    </filterColumn>
  </autoFilter>
  <dataValidations count="1">
    <dataValidation allowBlank="true" errorStyle="stop" operator="between" showDropDown="false" showErrorMessage="false" showInputMessage="false" sqref="B7:B232" type="list">
      <formula1>"Pequenos,Medios,Grandes"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36" activePane="bottomLeft" state="frozen"/>
      <selection pane="topLeft" activeCell="A1" activeCellId="0" sqref="A1"/>
      <selection pane="bottomLeft" activeCell="A54" activeCellId="0" sqref="A54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6"/>
    <col collapsed="false" customWidth="true" hidden="false" outlineLevel="0" max="4" min="4" style="1" width="22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1" min="10" style="1" width="11"/>
    <col collapsed="false" customWidth="true" hidden="false" outlineLevel="0" max="12" min="12" style="1" width="12"/>
    <col collapsed="false" customWidth="true" hidden="false" outlineLevel="0" max="13" min="13" style="1" width="10"/>
    <col collapsed="false" customWidth="true" hidden="false" outlineLevel="0" max="14" min="14" style="1" width="12"/>
    <col collapsed="false" customWidth="true" hidden="false" outlineLevel="0" max="15" min="15" style="1" width="9"/>
    <col collapsed="false" customWidth="true" hidden="false" outlineLevel="0" max="16" min="16" style="1" width="24"/>
    <col collapsed="false" customWidth="true" hidden="false" outlineLevel="0" max="17" min="17" style="1" width="26"/>
    <col collapsed="false" customWidth="true" hidden="false" outlineLevel="0" max="18" min="18" style="1" width="11"/>
  </cols>
  <sheetData>
    <row r="1" customFormat="false" ht="16.5" hidden="false" customHeight="true" outlineLevel="0" collapsed="false">
      <c r="A1" s="2" t="s">
        <v>188</v>
      </c>
    </row>
    <row r="2" customFormat="false" ht="15" hidden="false" customHeight="true" outlineLevel="0" collapsed="false">
      <c r="A2" s="5" t="s">
        <v>189</v>
      </c>
    </row>
    <row r="3" customFormat="false" ht="15" hidden="false" customHeight="true" outlineLevel="0" collapsed="false">
      <c r="A3" s="3" t="s">
        <v>190</v>
      </c>
      <c r="B3" s="17" t="n">
        <v>0.1</v>
      </c>
      <c r="C3" s="3" t="s">
        <v>191</v>
      </c>
      <c r="D3" s="17" t="n">
        <v>0.135</v>
      </c>
    </row>
    <row r="5" customFormat="false" ht="38.25" hidden="false" customHeight="true" outlineLevel="0" collapsed="false">
      <c r="A5" s="18" t="s">
        <v>192</v>
      </c>
      <c r="B5" s="18" t="s">
        <v>27</v>
      </c>
      <c r="C5" s="18" t="s">
        <v>193</v>
      </c>
      <c r="D5" s="18" t="s">
        <v>194</v>
      </c>
      <c r="E5" s="18" t="s">
        <v>195</v>
      </c>
      <c r="F5" s="18" t="s">
        <v>196</v>
      </c>
      <c r="G5" s="18" t="s">
        <v>197</v>
      </c>
      <c r="H5" s="18" t="s">
        <v>81</v>
      </c>
      <c r="I5" s="18" t="s">
        <v>198</v>
      </c>
      <c r="J5" s="18" t="s">
        <v>199</v>
      </c>
      <c r="K5" s="18" t="s">
        <v>86</v>
      </c>
      <c r="L5" s="18" t="s">
        <v>200</v>
      </c>
      <c r="M5" s="18" t="s">
        <v>201</v>
      </c>
      <c r="N5" s="18" t="s">
        <v>202</v>
      </c>
      <c r="O5" s="18" t="s">
        <v>203</v>
      </c>
      <c r="P5" s="18" t="s">
        <v>18</v>
      </c>
      <c r="Q5" s="18" t="s">
        <v>204</v>
      </c>
      <c r="R5" s="18" t="s">
        <v>205</v>
      </c>
    </row>
    <row r="6" customFormat="false" ht="15" hidden="false" customHeight="true" outlineLevel="0" collapsed="false">
      <c r="A6" s="32" t="n">
        <v>46228</v>
      </c>
      <c r="B6" s="33" t="s">
        <v>108</v>
      </c>
      <c r="C6" s="33" t="n">
        <v>1</v>
      </c>
      <c r="D6" s="33" t="s">
        <v>206</v>
      </c>
      <c r="E6" s="20" t="n">
        <f aca="false">IF($B6="","",INDEX(Simulador!$D$7:$D$232,MATCH($B6,Simulador!$A$7:$A$232,0)))</f>
        <v>153.72</v>
      </c>
      <c r="F6" s="34"/>
      <c r="G6" s="13" t="n">
        <f aca="false">IF(OR($B6="",$C6=""),"",$C6*E6-IF(F6="",0,F6))</f>
        <v>153.72</v>
      </c>
      <c r="H6" s="8" t="str">
        <f aca="false">IF($B6="","",INDEX(Simulador!$B$7:$B$232,MATCH($B6,Simulador!$A$7:$A$232,0)))</f>
        <v>Pequenos</v>
      </c>
      <c r="I6" s="13" t="n">
        <f aca="false">IF(OR(H6="",$D6=""),"",INDEX(Ref_Frete!$B$2:$G$54,MATCH($D6,Ref_Frete!$A$2:$A$54,0),IF(H6="Pequenos",2,IF(H6="Medios",4,6))))</f>
        <v>52</v>
      </c>
      <c r="J6" s="34" t="n">
        <v>19.73</v>
      </c>
      <c r="K6" s="20" t="n">
        <v>27.78</v>
      </c>
      <c r="L6" s="13" t="n">
        <f aca="false">IF(OR($B6="",$C6=""),"",$C6*INDEX(Simulador!$F$7:$F$232,MATCH($B6,Simulador!$A$7:$A$232,0)))</f>
        <v>75.68</v>
      </c>
      <c r="M6" s="13" t="n">
        <f aca="false">IF(G6="","",G6*$B$3)</f>
        <v>15.372</v>
      </c>
      <c r="N6" s="35" t="n">
        <f aca="false">IF(OR(G6="",J6=""),"",G6+IF(I6="",0,I6)-J6-K6-L6-M6)</f>
        <v>67.158</v>
      </c>
      <c r="O6" s="12" t="n">
        <f aca="false">IF(OR(N6="",G6=0,G6=""),"",N6/G6)</f>
        <v>0.436885245901639</v>
      </c>
      <c r="P6" s="22" t="str">
        <f aca="false">IF(O6="","",IF(O6&lt;0,"PREJUÍZO",IF(O6&lt;0.1,"CRÍTICO (&lt;10%)",IF(O6&lt;0.15,"ABAIXO DA META (10-15%)",IF(O6&lt;=0.2,"DENTRO DA META (15-20%)","ACIMA DA META (&gt;20%)")))))</f>
        <v>ACIMA DA META (&gt;20%)</v>
      </c>
      <c r="Q6" s="19"/>
      <c r="R6" s="19" t="s">
        <v>207</v>
      </c>
    </row>
    <row r="7" customFormat="false" ht="15" hidden="false" customHeight="true" outlineLevel="0" collapsed="false">
      <c r="A7" s="32" t="n">
        <v>46236</v>
      </c>
      <c r="B7" s="19" t="s">
        <v>148</v>
      </c>
      <c r="C7" s="19" t="n">
        <v>1</v>
      </c>
      <c r="D7" s="19" t="s">
        <v>208</v>
      </c>
      <c r="E7" s="20" t="n">
        <f aca="false">IF($B7="","",INDEX(Simulador!$D$7:$D$232,MATCH($B7,Simulador!$A$7:$A$232,0)))</f>
        <v>543.85</v>
      </c>
      <c r="F7" s="20"/>
      <c r="G7" s="13" t="n">
        <f aca="false">IF(OR($B7="",$C7=""),"",$C7*E7-IF(F7="",0,F7))</f>
        <v>543.85</v>
      </c>
      <c r="H7" s="8" t="str">
        <f aca="false">IF($B7="","",INDEX(Simulador!$B$7:$B$232,MATCH($B7,Simulador!$A$7:$A$232,0)))</f>
        <v>Medios</v>
      </c>
      <c r="I7" s="13" t="n">
        <f aca="false">IF(OR(H7="",$D7=""),"",INDEX(Ref_Frete!$B$2:$G$54,MATCH($D7,Ref_Frete!$A$2:$A$54,0),IF(H7="Pequenos",2,IF(H7="Medios",4,6))))</f>
        <v>69.9</v>
      </c>
      <c r="J7" s="20" t="n">
        <v>80.69</v>
      </c>
      <c r="K7" s="20" t="n">
        <f aca="false">IF(G7="","",ROUND($D$3*(G7+IF(I7="",0,I7)),2))</f>
        <v>82.86</v>
      </c>
      <c r="L7" s="13" t="n">
        <f aca="false">IF(OR($B7="",$C7=""),"",$C7*INDEX(Simulador!$F$7:$F$232,MATCH($B7,Simulador!$A$7:$A$232,0)))</f>
        <v>279.42</v>
      </c>
      <c r="M7" s="13" t="n">
        <f aca="false">IF(G7="","",G7*$B$3)</f>
        <v>54.385</v>
      </c>
      <c r="N7" s="35" t="n">
        <f aca="false">IF(OR(G7="",J7=""),"",G7+IF(I7="",0,I7)-J7-K7-L7-M7)</f>
        <v>116.395</v>
      </c>
      <c r="O7" s="12" t="n">
        <f aca="false">IF(OR(N7="",G7=0,G7=""),"",N7/G7)</f>
        <v>0.214020410039533</v>
      </c>
      <c r="P7" s="22" t="str">
        <f aca="false">IF(O7="","",IF(O7&lt;0,"PREJUÍZO",IF(O7&lt;0.1,"CRÍTICO (&lt;10%)",IF(O7&lt;0.15,"ABAIXO DA META (10-15%)",IF(O7&lt;=0.2,"DENTRO DA META (15-20%)","ACIMA DA META (&gt;20%)")))))</f>
        <v>ACIMA DA META (&gt;20%)</v>
      </c>
      <c r="Q7" s="19" t="s">
        <v>209</v>
      </c>
      <c r="R7" s="19" t="s">
        <v>210</v>
      </c>
    </row>
    <row r="8" customFormat="false" ht="15" hidden="false" customHeight="true" outlineLevel="0" collapsed="false">
      <c r="A8" s="32" t="n">
        <v>46234</v>
      </c>
      <c r="B8" s="19" t="s">
        <v>36</v>
      </c>
      <c r="C8" s="19" t="n">
        <v>2</v>
      </c>
      <c r="D8" s="19" t="s">
        <v>211</v>
      </c>
      <c r="E8" s="20" t="n">
        <f aca="false">IF($B8="","",INDEX(Simulador!$D$7:$D$232,MATCH($B8,Simulador!$A$7:$A$232,0)))</f>
        <v>198.03</v>
      </c>
      <c r="F8" s="20"/>
      <c r="G8" s="13" t="n">
        <f aca="false">IF(OR($B8="",$C8=""),"",$C8*E8-IF(F8="",0,F8))</f>
        <v>396.06</v>
      </c>
      <c r="H8" s="8" t="str">
        <f aca="false">IF($B8="","",INDEX(Simulador!$B$7:$B$232,MATCH($B8,Simulador!$A$7:$A$232,0)))</f>
        <v>Pequenos</v>
      </c>
      <c r="I8" s="13" t="n">
        <f aca="false">IF(OR(H8="",$D8=""),"",INDEX(Ref_Frete!$B$2:$G$54,MATCH($D8,Ref_Frete!$A$2:$A$54,0),IF(H8="Pequenos",2,IF(H8="Medios",4,6))))</f>
        <v>12.9</v>
      </c>
      <c r="J8" s="20" t="n">
        <v>28.29</v>
      </c>
      <c r="K8" s="20" t="n">
        <f aca="false">IF(G8="","",ROUND($D$3*(G8+IF(I8="",0,I8)),2))</f>
        <v>55.21</v>
      </c>
      <c r="L8" s="13" t="n">
        <f aca="false">IF(OR($B8="",$C8=""),"",$C8*INDEX(Simulador!$F$7:$F$232,MATCH($B8,Simulador!$A$7:$A$232,0)))</f>
        <v>206.84</v>
      </c>
      <c r="M8" s="13" t="n">
        <f aca="false">IF(G8="","",G8*$B$3)</f>
        <v>39.606</v>
      </c>
      <c r="N8" s="35" t="n">
        <f aca="false">IF(OR(G8="",J8=""),"",G8+IF(I8="",0,I8)-J8-K8-L8-M8)</f>
        <v>79.014</v>
      </c>
      <c r="O8" s="12" t="n">
        <f aca="false">IF(OR(N8="",G8=0,G8=""),"",N8/G8)</f>
        <v>0.199500075746099</v>
      </c>
      <c r="P8" s="22" t="str">
        <f aca="false">IF(O8="","",IF(O8&lt;0,"PREJUÍZO",IF(O8&lt;0.1,"CRÍTICO (&lt;10%)",IF(O8&lt;0.15,"ABAIXO DA META (10-15%)",IF(O8&lt;=0.2,"DENTRO DA META (15-20%)","ACIMA DA META (&gt;20%)")))))</f>
        <v>DENTRO DA META (15-20%)</v>
      </c>
      <c r="Q8" s="19" t="s">
        <v>212</v>
      </c>
      <c r="R8" s="19" t="s">
        <v>210</v>
      </c>
    </row>
    <row r="9" customFormat="false" ht="15" hidden="false" customHeight="true" outlineLevel="0" collapsed="false">
      <c r="A9" s="32" t="n">
        <v>46233</v>
      </c>
      <c r="B9" s="19" t="s">
        <v>129</v>
      </c>
      <c r="C9" s="19" t="n">
        <v>1</v>
      </c>
      <c r="D9" s="19" t="s">
        <v>97</v>
      </c>
      <c r="E9" s="20" t="n">
        <f aca="false">IF($B9="","",INDEX(Simulador!$D$7:$D$232,MATCH($B9,Simulador!$A$7:$A$232,0)))</f>
        <v>674.62</v>
      </c>
      <c r="F9" s="36"/>
      <c r="G9" s="13" t="n">
        <f aca="false">IF(OR($B9="",$C9=""),"",$C9*E9-IF(F9="",0,F9))</f>
        <v>674.62</v>
      </c>
      <c r="H9" s="8" t="str">
        <f aca="false">IF($B9="","",INDEX(Simulador!$B$7:$B$232,MATCH($B9,Simulador!$A$7:$A$232,0)))</f>
        <v>Medios</v>
      </c>
      <c r="I9" s="13" t="n">
        <f aca="false">IF(OR(H9="",$D9=""),"",INDEX(Ref_Frete!$B$2:$G$54,MATCH($D9,Ref_Frete!$A$2:$A$54,0),IF(H9="Pequenos",2,IF(H9="Medios",4,6))))</f>
        <v>59.9</v>
      </c>
      <c r="J9" s="20" t="n">
        <v>53.59</v>
      </c>
      <c r="K9" s="20" t="n">
        <f aca="false">IF(G9="","",ROUND($D$3*(G9+IF(I9="",0,I9)),2))</f>
        <v>99.16</v>
      </c>
      <c r="L9" s="13" t="n">
        <f aca="false">IF(OR($B9="",$C9=""),"",$C9*INDEX(Simulador!$F$7:$F$232,MATCH($B9,Simulador!$A$7:$A$232,0)))</f>
        <v>365.7</v>
      </c>
      <c r="M9" s="13" t="n">
        <f aca="false">IF(G9="","",G9*$B$3)</f>
        <v>67.462</v>
      </c>
      <c r="N9" s="35" t="n">
        <f aca="false">IF(OR(G9="",J9=""),"",G9+IF(I9="",0,I9)-J9-K9-L9-M9)</f>
        <v>148.608</v>
      </c>
      <c r="O9" s="12" t="n">
        <f aca="false">IF(OR(N9="",G9=0,G9=""),"",N9/G9)</f>
        <v>0.220284011739943</v>
      </c>
      <c r="P9" s="22" t="str">
        <f aca="false">IF(O9="","",IF(O9&lt;0,"PREJUÍZO",IF(O9&lt;0.1,"CRÍTICO (&lt;10%)",IF(O9&lt;0.15,"ABAIXO DA META (10-15%)",IF(O9&lt;=0.2,"DENTRO DA META (15-20%)","ACIMA DA META (&gt;20%)")))))</f>
        <v>ACIMA DA META (&gt;20%)</v>
      </c>
      <c r="Q9" s="19"/>
      <c r="R9" s="19" t="s">
        <v>207</v>
      </c>
    </row>
    <row r="10" customFormat="false" ht="15" hidden="false" customHeight="true" outlineLevel="0" collapsed="false">
      <c r="A10" s="32" t="n">
        <v>46186</v>
      </c>
      <c r="B10" s="19" t="s">
        <v>34</v>
      </c>
      <c r="C10" s="19" t="n">
        <v>1</v>
      </c>
      <c r="D10" s="19" t="s">
        <v>213</v>
      </c>
      <c r="E10" s="20" t="n">
        <v>96.63</v>
      </c>
      <c r="F10" s="20"/>
      <c r="G10" s="13" t="n">
        <f aca="false">IF(OR($B10="",$C10=""),"",$C10*E10-IF(F10="",0,F10))</f>
        <v>96.63</v>
      </c>
      <c r="H10" s="8" t="str">
        <f aca="false">IF($B10="","",INDEX(Simulador!$B$7:$B$232,MATCH($B10,Simulador!$A$7:$A$232,0)))</f>
        <v>Pequenos</v>
      </c>
      <c r="I10" s="13" t="n">
        <v>23.51</v>
      </c>
      <c r="J10" s="20" t="n">
        <v>15.65</v>
      </c>
      <c r="K10" s="20" t="n">
        <v>14.42</v>
      </c>
      <c r="L10" s="13" t="n">
        <f aca="false">IF(OR($B10="",$C10=""),"",$C10*INDEX(Simulador!$F$7:$F$232,MATCH($B10,Simulador!$A$7:$A$232,0)))</f>
        <v>48.18</v>
      </c>
      <c r="M10" s="13" t="n">
        <f aca="false">IF(G10="","",G10*$B$3)</f>
        <v>9.663</v>
      </c>
      <c r="N10" s="35" t="n">
        <f aca="false">IF(OR(G10="",J10=""),"",G10+IF(I10="",0,I10)-J10-K10-L10-M10)</f>
        <v>32.227</v>
      </c>
      <c r="O10" s="12" t="n">
        <f aca="false">IF(OR(N10="",G10=0,G10=""),"",N10/G10)</f>
        <v>0.333509262133913</v>
      </c>
      <c r="P10" s="22" t="str">
        <f aca="false">IF(O10="","",IF(O10&lt;0,"PREJUÍZO",IF(O10&lt;0.1,"CRÍTICO (&lt;10%)",IF(O10&lt;0.15,"ABAIXO DA META (10-15%)",IF(O10&lt;=0.2,"DENTRO DA META (15-20%)","ACIMA DA META (&gt;20%)")))))</f>
        <v>ACIMA DA META (&gt;20%)</v>
      </c>
      <c r="Q10" s="19" t="s">
        <v>214</v>
      </c>
      <c r="R10" s="19" t="s">
        <v>207</v>
      </c>
    </row>
    <row r="11" customFormat="false" ht="15" hidden="false" customHeight="true" outlineLevel="0" collapsed="false">
      <c r="A11" s="32" t="n">
        <v>46192</v>
      </c>
      <c r="B11" s="19" t="s">
        <v>134</v>
      </c>
      <c r="C11" s="19" t="n">
        <v>1</v>
      </c>
      <c r="D11" s="19" t="s">
        <v>215</v>
      </c>
      <c r="E11" s="20" t="n">
        <f aca="false">IF($B11="","",INDEX(Simulador!$D$7:$D$232,MATCH($B11,Simulador!$A$7:$A$232,0)))</f>
        <v>335.68</v>
      </c>
      <c r="F11" s="20"/>
      <c r="G11" s="13" t="n">
        <f aca="false">IF(OR($B11="",$C11=""),"",$C11*E11-IF(F11="",0,F11))</f>
        <v>335.68</v>
      </c>
      <c r="H11" s="8" t="str">
        <f aca="false">IF($B11="","",INDEX(Simulador!$B$7:$B$232,MATCH($B11,Simulador!$A$7:$A$232,0)))</f>
        <v>Medios</v>
      </c>
      <c r="I11" s="13" t="n">
        <v>51</v>
      </c>
      <c r="J11" s="20" t="n">
        <v>35.52</v>
      </c>
      <c r="K11" s="20" t="n">
        <f aca="false">IF(G11="","",ROUND($D$3*(G11+IF(I11="",0,I11)),2))</f>
        <v>52.2</v>
      </c>
      <c r="L11" s="13" t="n">
        <f aca="false">IF(OR($B11="",$C11=""),"",$C11*INDEX(Simulador!$F$7:$F$232,MATCH($B11,Simulador!$A$7:$A$232,0)))</f>
        <v>172.67</v>
      </c>
      <c r="M11" s="13" t="n">
        <f aca="false">IF(G11="","",G11*$B$3)</f>
        <v>33.568</v>
      </c>
      <c r="N11" s="35" t="n">
        <f aca="false">IF(OR(G11="",J11=""),"",G11+IF(I11="",0,I11)-J11-K11-L11-M11)</f>
        <v>92.722</v>
      </c>
      <c r="O11" s="12" t="n">
        <f aca="false">IF(OR(N11="",G11=0,G11=""),"",N11/G11)</f>
        <v>0.276221401334605</v>
      </c>
      <c r="P11" s="22" t="str">
        <f aca="false">IF(O11="","",IF(O11&lt;0,"PREJUÍZO",IF(O11&lt;0.1,"CRÍTICO (&lt;10%)",IF(O11&lt;0.15,"ABAIXO DA META (10-15%)",IF(O11&lt;=0.2,"DENTRO DA META (15-20%)","ACIMA DA META (&gt;20%)")))))</f>
        <v>ACIMA DA META (&gt;20%)</v>
      </c>
      <c r="Q11" s="19" t="s">
        <v>216</v>
      </c>
      <c r="R11" s="19" t="s">
        <v>210</v>
      </c>
    </row>
    <row r="12" customFormat="false" ht="15" hidden="false" customHeight="true" outlineLevel="0" collapsed="false">
      <c r="A12" s="32" t="n">
        <v>46195</v>
      </c>
      <c r="B12" s="19" t="s">
        <v>169</v>
      </c>
      <c r="C12" s="19" t="n">
        <v>1</v>
      </c>
      <c r="D12" s="19" t="s">
        <v>215</v>
      </c>
      <c r="E12" s="20" t="n">
        <f aca="false">IF($B12="","",INDEX(Simulador!$D$7:$D$232,MATCH($B12,Simulador!$A$7:$A$232,0)))</f>
        <v>532.93</v>
      </c>
      <c r="F12" s="20"/>
      <c r="G12" s="13" t="n">
        <f aca="false">IF(OR($B12="",$C12=""),"",$C12*E12-IF(F12="",0,F12))</f>
        <v>532.93</v>
      </c>
      <c r="H12" s="8" t="str">
        <f aca="false">IF($B12="","",INDEX(Simulador!$B$7:$B$232,MATCH($B12,Simulador!$A$7:$A$232,0)))</f>
        <v>Medios</v>
      </c>
      <c r="I12" s="13" t="n">
        <v>59.99</v>
      </c>
      <c r="J12" s="20" t="n">
        <v>42.41</v>
      </c>
      <c r="K12" s="20" t="n">
        <f aca="false">IF(G12="","",ROUND($D$3*(G12+IF(I12="",0,I12)),2))</f>
        <v>80.04</v>
      </c>
      <c r="L12" s="13" t="n">
        <f aca="false">IF(OR($B12="",$C12=""),"",$C12*INDEX(Simulador!$F$7:$F$232,MATCH($B12,Simulador!$A$7:$A$232,0)))</f>
        <v>301.03</v>
      </c>
      <c r="M12" s="13" t="n">
        <f aca="false">IF(G12="","",G12*$B$3)</f>
        <v>53.293</v>
      </c>
      <c r="N12" s="35" t="n">
        <f aca="false">IF(OR(G12="",J12=""),"",G12+IF(I12="",0,I12)-J12-K12-L12-M12)</f>
        <v>116.147</v>
      </c>
      <c r="O12" s="12" t="n">
        <f aca="false">IF(OR(N12="",G12=0,G12=""),"",N12/G12)</f>
        <v>0.21794044245961</v>
      </c>
      <c r="P12" s="22" t="str">
        <f aca="false">IF(O12="","",IF(O12&lt;0,"PREJUÍZO",IF(O12&lt;0.1,"CRÍTICO (&lt;10%)",IF(O12&lt;0.15,"ABAIXO DA META (10-15%)",IF(O12&lt;=0.2,"DENTRO DA META (15-20%)","ACIMA DA META (&gt;20%)")))))</f>
        <v>ACIMA DA META (&gt;20%)</v>
      </c>
      <c r="Q12" s="19"/>
      <c r="R12" s="19" t="s">
        <v>207</v>
      </c>
    </row>
    <row r="13" customFormat="false" ht="15" hidden="false" customHeight="true" outlineLevel="0" collapsed="false">
      <c r="A13" s="32" t="n">
        <v>46195</v>
      </c>
      <c r="B13" s="19" t="s">
        <v>57</v>
      </c>
      <c r="C13" s="19" t="n">
        <v>1</v>
      </c>
      <c r="D13" s="19" t="s">
        <v>211</v>
      </c>
      <c r="E13" s="20" t="n">
        <f aca="false">IF($B13="","",INDEX(Simulador!$D$7:$D$232,MATCH($B13,Simulador!$A$7:$A$232,0)))</f>
        <v>616.18</v>
      </c>
      <c r="F13" s="20"/>
      <c r="G13" s="13" t="n">
        <f aca="false">IF(OR($B13="",$C13=""),"",$C13*E13-IF(F13="",0,F13))</f>
        <v>616.18</v>
      </c>
      <c r="H13" s="8" t="str">
        <f aca="false">IF($B13="","",INDEX(Simulador!$B$7:$B$232,MATCH($B13,Simulador!$A$7:$A$232,0)))</f>
        <v>Medios</v>
      </c>
      <c r="I13" s="13" t="n">
        <v>40.01</v>
      </c>
      <c r="J13" s="20" t="n">
        <v>37.22</v>
      </c>
      <c r="K13" s="20" t="n">
        <f aca="false">IF(G13="","",ROUND($D$3*(G13+IF(I13="",0,I13)),2))</f>
        <v>88.59</v>
      </c>
      <c r="L13" s="13" t="n">
        <f aca="false">IF(OR($B13="",$C13=""),"",$C13*INDEX(Simulador!$F$7:$F$232,MATCH($B13,Simulador!$A$7:$A$232,0)))</f>
        <v>307.26</v>
      </c>
      <c r="M13" s="13" t="n">
        <f aca="false">IF(G13="","",G13*$B$3)</f>
        <v>61.618</v>
      </c>
      <c r="N13" s="35" t="n">
        <f aca="false">IF(OR(G13="",J13=""),"",G13+IF(I13="",0,I13)-J13-K13-L13-M13)</f>
        <v>161.502</v>
      </c>
      <c r="O13" s="12" t="n">
        <f aca="false">IF(OR(N13="",G13=0,G13=""),"",N13/G13)</f>
        <v>0.262101983186731</v>
      </c>
      <c r="P13" s="22" t="str">
        <f aca="false">IF(O13="","",IF(O13&lt;0,"PREJUÍZO",IF(O13&lt;0.1,"CRÍTICO (&lt;10%)",IF(O13&lt;0.15,"ABAIXO DA META (10-15%)",IF(O13&lt;=0.2,"DENTRO DA META (15-20%)","ACIMA DA META (&gt;20%)")))))</f>
        <v>ACIMA DA META (&gt;20%)</v>
      </c>
      <c r="Q13" s="19" t="s">
        <v>217</v>
      </c>
      <c r="R13" s="19" t="s">
        <v>210</v>
      </c>
    </row>
    <row r="14" customFormat="false" ht="15" hidden="false" customHeight="true" outlineLevel="0" collapsed="false">
      <c r="A14" s="32" t="n">
        <v>46197</v>
      </c>
      <c r="B14" s="19" t="s">
        <v>38</v>
      </c>
      <c r="C14" s="19" t="n">
        <v>1</v>
      </c>
      <c r="D14" s="19" t="s">
        <v>98</v>
      </c>
      <c r="E14" s="20" t="n">
        <v>203.16</v>
      </c>
      <c r="F14" s="20"/>
      <c r="G14" s="13" t="n">
        <f aca="false">IF(OR($B14="",$C14=""),"",$C14*E14-IF(F14="",0,F14))</f>
        <v>203.16</v>
      </c>
      <c r="H14" s="8" t="str">
        <f aca="false">IF($B14="","",INDEX(Simulador!$B$7:$B$232,MATCH($B14,Simulador!$A$7:$A$232,0)))</f>
        <v>Pequenos</v>
      </c>
      <c r="I14" s="13" t="n">
        <v>16.25</v>
      </c>
      <c r="J14" s="20" t="n">
        <v>34.5</v>
      </c>
      <c r="K14" s="20" t="n">
        <f aca="false">IF(G14="","",ROUND($D$3*(G14+IF(I14="",0,I14)),2))</f>
        <v>29.62</v>
      </c>
      <c r="L14" s="13" t="n">
        <f aca="false">IF(OR($B14="",$C14=""),"",$C14*INDEX(Simulador!$F$7:$F$232,MATCH($B14,Simulador!$A$7:$A$232,0)))</f>
        <v>139.49</v>
      </c>
      <c r="M14" s="13" t="n">
        <f aca="false">IF(G14="","",G14*$B$3)</f>
        <v>20.316</v>
      </c>
      <c r="N14" s="35" t="n">
        <f aca="false">IF(OR(G14="",J14=""),"",G14+IF(I14="",0,I14)-J14-K14-L14-M14)</f>
        <v>-4.51600000000002</v>
      </c>
      <c r="O14" s="12" t="n">
        <f aca="false">IF(OR(N14="",G14=0,G14=""),"",N14/G14)</f>
        <v>-0.0222287851939359</v>
      </c>
      <c r="P14" s="22" t="str">
        <f aca="false">IF(O14="","",IF(O14&lt;0,"PREJUÍZO",IF(O14&lt;0.1,"CRÍTICO (&lt;10%)",IF(O14&lt;0.15,"ABAIXO DA META (10-15%)",IF(O14&lt;=0.2,"DENTRO DA META (15-20%)","ACIMA DA META (&gt;20%)")))))</f>
        <v>PREJUÍZO</v>
      </c>
      <c r="Q14" s="19" t="s">
        <v>218</v>
      </c>
      <c r="R14" s="19" t="s">
        <v>210</v>
      </c>
    </row>
    <row r="15" customFormat="false" ht="15" hidden="false" customHeight="true" outlineLevel="0" collapsed="false">
      <c r="A15" s="32" t="n">
        <v>46198</v>
      </c>
      <c r="B15" s="19" t="s">
        <v>161</v>
      </c>
      <c r="C15" s="19" t="n">
        <v>1</v>
      </c>
      <c r="D15" s="19" t="s">
        <v>213</v>
      </c>
      <c r="E15" s="20" t="n">
        <f aca="false">IF($B15="","",INDEX(Simulador!$D$7:$D$232,MATCH($B15,Simulador!$A$7:$A$232,0)))</f>
        <v>248.75</v>
      </c>
      <c r="F15" s="20"/>
      <c r="G15" s="13" t="n">
        <f aca="false">IF(OR($B15="",$C15=""),"",$C15*E15-IF(F15="",0,F15))</f>
        <v>248.75</v>
      </c>
      <c r="H15" s="8" t="str">
        <f aca="false">IF($B15="","",INDEX(Simulador!$B$7:$B$232,MATCH($B15,Simulador!$A$7:$A$232,0)))</f>
        <v>Medios</v>
      </c>
      <c r="I15" s="13" t="n">
        <v>46.01</v>
      </c>
      <c r="J15" s="20" t="n">
        <v>37.97</v>
      </c>
      <c r="K15" s="20" t="n">
        <f aca="false">IF(G15="","",ROUND($D$3*(G15+IF(I15="",0,I15)),2))</f>
        <v>39.79</v>
      </c>
      <c r="L15" s="13" t="n">
        <f aca="false">IF(OR($B15="",$C15=""),"",$C15*INDEX(Simulador!$F$7:$F$232,MATCH($B15,Simulador!$A$7:$A$232,0)))</f>
        <v>124.42</v>
      </c>
      <c r="M15" s="13" t="n">
        <f aca="false">IF(G15="","",G15*$B$3)</f>
        <v>24.875</v>
      </c>
      <c r="N15" s="35" t="n">
        <f aca="false">IF(OR(G15="",J15=""),"",G15+IF(I15="",0,I15)-J15-K15-L15-M15)</f>
        <v>67.705</v>
      </c>
      <c r="O15" s="12" t="n">
        <f aca="false">IF(OR(N15="",G15=0,G15=""),"",N15/G15)</f>
        <v>0.272180904522613</v>
      </c>
      <c r="P15" s="22" t="str">
        <f aca="false">IF(O15="","",IF(O15&lt;0,"PREJUÍZO",IF(O15&lt;0.1,"CRÍTICO (&lt;10%)",IF(O15&lt;0.15,"ABAIXO DA META (10-15%)",IF(O15&lt;=0.2,"DENTRO DA META (15-20%)","ACIMA DA META (&gt;20%)")))))</f>
        <v>ACIMA DA META (&gt;20%)</v>
      </c>
      <c r="Q15" s="19" t="s">
        <v>219</v>
      </c>
      <c r="R15" s="19" t="s">
        <v>210</v>
      </c>
    </row>
    <row r="16" customFormat="false" ht="15" hidden="false" customHeight="true" outlineLevel="0" collapsed="false">
      <c r="A16" s="32" t="n">
        <v>46199</v>
      </c>
      <c r="B16" s="19" t="s">
        <v>126</v>
      </c>
      <c r="C16" s="19" t="n">
        <v>2</v>
      </c>
      <c r="D16" s="19" t="s">
        <v>211</v>
      </c>
      <c r="E16" s="20" t="n">
        <f aca="false">IF($B16="","",INDEX(Simulador!$D$7:$D$232,MATCH($B16,Simulador!$A$7:$A$232,0)))</f>
        <v>167.89</v>
      </c>
      <c r="F16" s="20"/>
      <c r="G16" s="13" t="n">
        <f aca="false">IF(OR($B16="",$C16=""),"",$C16*E16-IF(F16="",0,F16))</f>
        <v>335.78</v>
      </c>
      <c r="H16" s="8" t="str">
        <f aca="false">IF($B16="","",INDEX(Simulador!$B$7:$B$232,MATCH($B16,Simulador!$A$7:$A$232,0)))</f>
        <v>Pequenos</v>
      </c>
      <c r="I16" s="13" t="n">
        <f aca="false">IF(OR(H16="",$D16=""),"",INDEX(Ref_Frete!$B$2:$G$54,MATCH($D16,Ref_Frete!$A$2:$A$54,0),IF(H16="Pequenos",2,IF(H16="Medios",4,6))))</f>
        <v>12.9</v>
      </c>
      <c r="J16" s="20" t="n">
        <v>15.49</v>
      </c>
      <c r="K16" s="20" t="n">
        <f aca="false">IF(G16="","",ROUND($D$3*(G16+IF(I16="",0,I16)),2))</f>
        <v>47.07</v>
      </c>
      <c r="L16" s="13" t="n">
        <f aca="false">IF(OR($B16="",$C16=""),"",$C16*INDEX(Simulador!$F$7:$F$232,MATCH($B16,Simulador!$A$7:$A$232,0)))</f>
        <v>169.58</v>
      </c>
      <c r="M16" s="13" t="n">
        <f aca="false">IF(G16="","",G16*$B$3)</f>
        <v>33.578</v>
      </c>
      <c r="N16" s="35" t="n">
        <f aca="false">IF(OR(G16="",J16=""),"",G16+IF(I16="",0,I16)-J16-K16-L16-M16)</f>
        <v>82.9619999999999</v>
      </c>
      <c r="O16" s="12" t="n">
        <f aca="false">IF(OR(N16="",G16=0,G16=""),"",N16/G16)</f>
        <v>0.247072487938531</v>
      </c>
      <c r="P16" s="22" t="str">
        <f aca="false">IF(O16="","",IF(O16&lt;0,"PREJUÍZO",IF(O16&lt;0.1,"CRÍTICO (&lt;10%)",IF(O16&lt;0.15,"ABAIXO DA META (10-15%)",IF(O16&lt;=0.2,"DENTRO DA META (15-20%)","ACIMA DA META (&gt;20%)")))))</f>
        <v>ACIMA DA META (&gt;20%)</v>
      </c>
      <c r="Q16" s="19" t="s">
        <v>220</v>
      </c>
      <c r="R16" s="19" t="s">
        <v>207</v>
      </c>
    </row>
    <row r="17" customFormat="false" ht="15" hidden="false" customHeight="true" outlineLevel="0" collapsed="false">
      <c r="A17" s="32" t="n">
        <v>46202</v>
      </c>
      <c r="B17" s="19" t="s">
        <v>170</v>
      </c>
      <c r="C17" s="19" t="n">
        <v>1</v>
      </c>
      <c r="D17" s="19" t="s">
        <v>221</v>
      </c>
      <c r="E17" s="20" t="n">
        <f aca="false">IF($B17="","",INDEX(Simulador!$D$7:$D$232,MATCH($B17,Simulador!$A$7:$A$232,0)))</f>
        <v>475.31</v>
      </c>
      <c r="F17" s="20"/>
      <c r="G17" s="13" t="n">
        <f aca="false">IF(OR($B17="",$C17=""),"",$C17*E17-IF(F17="",0,F17))</f>
        <v>475.31</v>
      </c>
      <c r="H17" s="8" t="str">
        <f aca="false">IF($B17="","",INDEX(Simulador!$B$7:$B$232,MATCH($B17,Simulador!$A$7:$A$232,0)))</f>
        <v>Medios</v>
      </c>
      <c r="I17" s="13" t="n">
        <v>163</v>
      </c>
      <c r="J17" s="20" t="n">
        <v>81.96</v>
      </c>
      <c r="K17" s="20" t="n">
        <f aca="false">IF(G17="","",ROUND($D$3*(G17+IF(I17="",0,I17)),2))</f>
        <v>86.17</v>
      </c>
      <c r="L17" s="13" t="n">
        <f aca="false">IF(OR($B17="",$C17=""),"",$C17*INDEX(Simulador!$F$7:$F$232,MATCH($B17,Simulador!$A$7:$A$232,0)))</f>
        <v>247.86</v>
      </c>
      <c r="M17" s="13" t="n">
        <f aca="false">IF(G17="","",G17*$B$3)</f>
        <v>47.531</v>
      </c>
      <c r="N17" s="35" t="n">
        <f aca="false">IF(OR(G17="",J17=""),"",G17+IF(I17="",0,I17)-J17-K17-L17-M17)</f>
        <v>174.789</v>
      </c>
      <c r="O17" s="12" t="n">
        <f aca="false">IF(OR(N17="",G17=0,G17=""),"",N17/G17)</f>
        <v>0.367736845427195</v>
      </c>
      <c r="P17" s="22" t="str">
        <f aca="false">IF(O17="","",IF(O17&lt;0,"PREJUÍZO",IF(O17&lt;0.1,"CRÍTICO (&lt;10%)",IF(O17&lt;0.15,"ABAIXO DA META (10-15%)",IF(O17&lt;=0.2,"DENTRO DA META (15-20%)","ACIMA DA META (&gt;20%)")))))</f>
        <v>ACIMA DA META (&gt;20%)</v>
      </c>
      <c r="Q17" s="19" t="s">
        <v>222</v>
      </c>
      <c r="R17" s="19" t="s">
        <v>210</v>
      </c>
    </row>
    <row r="18" customFormat="false" ht="15" hidden="false" customHeight="true" outlineLevel="0" collapsed="false">
      <c r="A18" s="32" t="n">
        <v>46202</v>
      </c>
      <c r="B18" s="19" t="s">
        <v>155</v>
      </c>
      <c r="C18" s="19" t="n">
        <v>1</v>
      </c>
      <c r="D18" s="19" t="s">
        <v>206</v>
      </c>
      <c r="E18" s="20" t="n">
        <f aca="false">IF($B18="","",INDEX(Simulador!$D$7:$D$232,MATCH($B18,Simulador!$A$7:$A$232,0)))</f>
        <v>467.67</v>
      </c>
      <c r="F18" s="20" t="n">
        <v>37.41</v>
      </c>
      <c r="G18" s="13" t="n">
        <f aca="false">IF(OR($B18="",$C18=""),"",$C18*E18-IF(F18="",0,F18))</f>
        <v>430.26</v>
      </c>
      <c r="H18" s="8" t="str">
        <f aca="false">IF($B18="","",INDEX(Simulador!$B$7:$B$232,MATCH($B18,Simulador!$A$7:$A$232,0)))</f>
        <v>Medios</v>
      </c>
      <c r="I18" s="13" t="n">
        <f aca="false">IF(OR(H18="",$D18=""),"",INDEX(Ref_Frete!$B$2:$G$54,MATCH($D18,Ref_Frete!$A$2:$A$54,0),IF(H18="Pequenos",2,IF(H18="Medios",4,6))))</f>
        <v>122</v>
      </c>
      <c r="J18" s="20" t="n">
        <v>53.08</v>
      </c>
      <c r="K18" s="20" t="n">
        <f aca="false">IF(G18="","",ROUND($D$3*(G18+IF(I18="",0,I18)),2))</f>
        <v>74.56</v>
      </c>
      <c r="L18" s="13" t="n">
        <f aca="false">IF(OR($B18="",$C18=""),"",$C18*INDEX(Simulador!$F$7:$F$232,MATCH($B18,Simulador!$A$7:$A$232,0)))</f>
        <v>240.55</v>
      </c>
      <c r="M18" s="13" t="n">
        <f aca="false">IF(G18="","",G18*$B$3)</f>
        <v>43.026</v>
      </c>
      <c r="N18" s="35" t="n">
        <f aca="false">IF(OR(G18="",J18=""),"",G18+IF(I18="",0,I18)-J18-K18-L18-M18)</f>
        <v>141.044</v>
      </c>
      <c r="O18" s="12" t="n">
        <f aca="false">IF(OR(N18="",G18=0,G18=""),"",N18/G18)</f>
        <v>0.327811090968252</v>
      </c>
      <c r="P18" s="22" t="str">
        <f aca="false">IF(O18="","",IF(O18&lt;0,"PREJUÍZO",IF(O18&lt;0.1,"CRÍTICO (&lt;10%)",IF(O18&lt;0.15,"ABAIXO DA META (10-15%)",IF(O18&lt;=0.2,"DENTRO DA META (15-20%)","ACIMA DA META (&gt;20%)")))))</f>
        <v>ACIMA DA META (&gt;20%)</v>
      </c>
      <c r="Q18" s="19" t="s">
        <v>223</v>
      </c>
      <c r="R18" s="19" t="s">
        <v>210</v>
      </c>
    </row>
    <row r="19" customFormat="false" ht="15" hidden="false" customHeight="true" outlineLevel="0" collapsed="false">
      <c r="A19" s="32" t="n">
        <v>46205</v>
      </c>
      <c r="B19" s="19" t="s">
        <v>129</v>
      </c>
      <c r="C19" s="19" t="n">
        <v>1</v>
      </c>
      <c r="D19" s="19" t="s">
        <v>211</v>
      </c>
      <c r="E19" s="20" t="n">
        <f aca="false">IF($B19="","",INDEX(Simulador!$D$7:$D$232,MATCH($B19,Simulador!$A$7:$A$232,0)))</f>
        <v>674.62</v>
      </c>
      <c r="F19" s="20"/>
      <c r="G19" s="13" t="n">
        <f aca="false">IF(OR($B19="",$C19=""),"",$C19*E19-IF(F19="",0,F19))</f>
        <v>674.62</v>
      </c>
      <c r="H19" s="8" t="str">
        <f aca="false">IF($B19="","",INDEX(Simulador!$B$7:$B$232,MATCH($B19,Simulador!$A$7:$A$232,0)))</f>
        <v>Medios</v>
      </c>
      <c r="I19" s="13" t="n">
        <f aca="false">IF(OR(H19="",$D19=""),"",INDEX(Ref_Frete!$B$2:$G$54,MATCH($D19,Ref_Frete!$A$2:$A$54,0),IF(H19="Pequenos",2,IF(H19="Medios",4,6))))</f>
        <v>34.9</v>
      </c>
      <c r="J19" s="20" t="n">
        <v>44.98</v>
      </c>
      <c r="K19" s="20" t="n">
        <f aca="false">IF(G19="","",ROUND($D$3*(G19+IF(I19="",0,I19)),2))</f>
        <v>95.79</v>
      </c>
      <c r="L19" s="13" t="n">
        <f aca="false">IF(OR($B19="",$C19=""),"",$C19*INDEX(Simulador!$F$7:$F$232,MATCH($B19,Simulador!$A$7:$A$232,0)))</f>
        <v>365.7</v>
      </c>
      <c r="M19" s="13" t="n">
        <f aca="false">IF(G19="","",G19*$B$3)</f>
        <v>67.462</v>
      </c>
      <c r="N19" s="35" t="n">
        <f aca="false">IF(OR(G19="",J19=""),"",G19+IF(I19="",0,I19)-J19-K19-L19-M19)</f>
        <v>135.588</v>
      </c>
      <c r="O19" s="12" t="n">
        <f aca="false">IF(OR(N19="",G19=0,G19=""),"",N19/G19)</f>
        <v>0.200984257804394</v>
      </c>
      <c r="P19" s="22" t="str">
        <f aca="false">IF(O19="","",IF(O19&lt;0,"PREJUÍZO",IF(O19&lt;0.1,"CRÍTICO (&lt;10%)",IF(O19&lt;0.15,"ABAIXO DA META (10-15%)",IF(O19&lt;=0.2,"DENTRO DA META (15-20%)","ACIMA DA META (&gt;20%)")))))</f>
        <v>ACIMA DA META (&gt;20%)</v>
      </c>
      <c r="Q19" s="19" t="s">
        <v>224</v>
      </c>
      <c r="R19" s="19" t="s">
        <v>207</v>
      </c>
    </row>
    <row r="20" customFormat="false" ht="15" hidden="false" customHeight="true" outlineLevel="0" collapsed="false">
      <c r="A20" s="32" t="n">
        <v>46205</v>
      </c>
      <c r="B20" s="19" t="s">
        <v>126</v>
      </c>
      <c r="C20" s="19" t="n">
        <v>1</v>
      </c>
      <c r="D20" s="19" t="s">
        <v>225</v>
      </c>
      <c r="E20" s="20" t="n">
        <v>167.89</v>
      </c>
      <c r="F20" s="20"/>
      <c r="G20" s="13" t="n">
        <f aca="false">IF(OR($B20="",$C20=""),"",$C20*E20-IF(F20="",0,F20))</f>
        <v>167.89</v>
      </c>
      <c r="H20" s="8" t="str">
        <f aca="false">IF($B20="","",INDEX(Simulador!$B$7:$B$232,MATCH($B20,Simulador!$A$7:$A$232,0)))</f>
        <v>Pequenos</v>
      </c>
      <c r="I20" s="13" t="n">
        <v>59.49</v>
      </c>
      <c r="J20" s="20" t="n">
        <v>27.29</v>
      </c>
      <c r="K20" s="20" t="n">
        <f aca="false">IF(G20="","",ROUND($D$3*(G20+IF(I20="",0,I20)),2))</f>
        <v>30.7</v>
      </c>
      <c r="L20" s="13" t="n">
        <f aca="false">IF(OR($B20="",$C20=""),"",$C20*INDEX(Simulador!$F$7:$F$232,MATCH($B20,Simulador!$A$7:$A$232,0)))</f>
        <v>84.79</v>
      </c>
      <c r="M20" s="13" t="n">
        <f aca="false">IF(G20="","",G20*$B$3)</f>
        <v>16.789</v>
      </c>
      <c r="N20" s="35" t="n">
        <f aca="false">IF(OR(G20="",J20=""),"",G20+IF(I20="",0,I20)-J20-K20-L20-M20)</f>
        <v>67.811</v>
      </c>
      <c r="O20" s="12" t="n">
        <f aca="false">IF(OR(N20="",G20=0,G20=""),"",N20/G20)</f>
        <v>0.403901363988326</v>
      </c>
      <c r="P20" s="22" t="str">
        <f aca="false">IF(O20="","",IF(O20&lt;0,"PREJUÍZO",IF(O20&lt;0.1,"CRÍTICO (&lt;10%)",IF(O20&lt;0.15,"ABAIXO DA META (10-15%)",IF(O20&lt;=0.2,"DENTRO DA META (15-20%)","ACIMA DA META (&gt;20%)")))))</f>
        <v>ACIMA DA META (&gt;20%)</v>
      </c>
      <c r="Q20" s="19" t="s">
        <v>226</v>
      </c>
      <c r="R20" s="19" t="s">
        <v>210</v>
      </c>
    </row>
    <row r="21" customFormat="false" ht="15" hidden="false" customHeight="true" outlineLevel="0" collapsed="false">
      <c r="A21" s="32" t="n">
        <v>46205</v>
      </c>
      <c r="B21" s="19" t="s">
        <v>125</v>
      </c>
      <c r="C21" s="19" t="n">
        <v>1</v>
      </c>
      <c r="D21" s="19" t="s">
        <v>225</v>
      </c>
      <c r="E21" s="20" t="n">
        <v>203.54</v>
      </c>
      <c r="F21" s="20"/>
      <c r="G21" s="13" t="n">
        <f aca="false">IF(OR($B21="",$C21=""),"",$C21*E21-IF(F21="",0,F21))</f>
        <v>203.54</v>
      </c>
      <c r="H21" s="8" t="str">
        <f aca="false">IF($B21="","",INDEX(Simulador!$B$7:$B$232,MATCH($B21,Simulador!$A$7:$A$232,0)))</f>
        <v>Pequenos</v>
      </c>
      <c r="I21" s="20" t="n">
        <v>0</v>
      </c>
      <c r="J21" s="20" t="n">
        <v>0</v>
      </c>
      <c r="K21" s="20" t="n">
        <f aca="false">IF(G21="","",ROUND($D$3*(G21+IF(I21="",0,I21)),2))</f>
        <v>27.48</v>
      </c>
      <c r="L21" s="13" t="n">
        <f aca="false">IF(OR($B21="",$C21=""),"",$C21*INDEX(Simulador!$F$7:$F$232,MATCH($B21,Simulador!$A$7:$A$232,0)))</f>
        <v>102.8</v>
      </c>
      <c r="M21" s="13" t="n">
        <f aca="false">IF(G21="","",G21*$B$3)</f>
        <v>20.354</v>
      </c>
      <c r="N21" s="35" t="n">
        <f aca="false">IF(OR(G21="",J21=""),"",G21+IF(I21="",0,I21)-J21-K21-L21-M21)</f>
        <v>52.906</v>
      </c>
      <c r="O21" s="12" t="n">
        <f aca="false">IF(OR(N21="",G21=0,G21=""),"",N21/G21)</f>
        <v>0.259929252235433</v>
      </c>
      <c r="P21" s="22" t="str">
        <f aca="false">IF(O21="","",IF(O21&lt;0,"PREJUÍZO",IF(O21&lt;0.1,"CRÍTICO (&lt;10%)",IF(O21&lt;0.15,"ABAIXO DA META (10-15%)",IF(O21&lt;=0.2,"DENTRO DA META (15-20%)","ACIMA DA META (&gt;20%)")))))</f>
        <v>ACIMA DA META (&gt;20%)</v>
      </c>
      <c r="Q21" s="19" t="s">
        <v>227</v>
      </c>
      <c r="R21" s="19" t="s">
        <v>210</v>
      </c>
    </row>
    <row r="22" customFormat="false" ht="15" hidden="false" customHeight="true" outlineLevel="0" collapsed="false">
      <c r="A22" s="32" t="n">
        <v>46206</v>
      </c>
      <c r="B22" s="19" t="s">
        <v>115</v>
      </c>
      <c r="C22" s="19" t="n">
        <v>1</v>
      </c>
      <c r="D22" s="37" t="s">
        <v>228</v>
      </c>
      <c r="E22" s="20" t="n">
        <f aca="false">IF($B22="","",INDEX(Simulador!$D$7:$D$232,MATCH($B22,Simulador!$A$7:$A$232,0)))</f>
        <v>319.58</v>
      </c>
      <c r="F22" s="20"/>
      <c r="G22" s="13" t="n">
        <f aca="false">IF(OR($B22="",$C22=""),"",$C22*E22-IF(F22="",0,F22))</f>
        <v>319.58</v>
      </c>
      <c r="H22" s="8" t="str">
        <f aca="false">IF($B22="","",INDEX(Simulador!$B$7:$B$232,MATCH($B22,Simulador!$A$7:$A$232,0)))</f>
        <v>Pequenos</v>
      </c>
      <c r="I22" s="13" t="n">
        <v>82.01</v>
      </c>
      <c r="J22" s="20" t="n">
        <v>24.6</v>
      </c>
      <c r="K22" s="20" t="n">
        <f aca="false">IF(G22="","",ROUND($D$3*(G22+IF(I22="",0,I22)),2))</f>
        <v>54.21</v>
      </c>
      <c r="L22" s="13" t="n">
        <f aca="false">IF(OR($B22="",$C22=""),"",$C22*INDEX(Simulador!$F$7:$F$232,MATCH($B22,Simulador!$A$7:$A$232,0)))</f>
        <v>156</v>
      </c>
      <c r="M22" s="13" t="n">
        <f aca="false">IF(G22="","",G22*$B$3)</f>
        <v>31.958</v>
      </c>
      <c r="N22" s="35" t="n">
        <f aca="false">IF(OR(G22="",J22=""),"",G22+IF(I22="",0,I22)-J22-K22-L22-M22)</f>
        <v>134.822</v>
      </c>
      <c r="O22" s="12" t="n">
        <f aca="false">IF(OR(N22="",G22=0,G22=""),"",N22/G22)</f>
        <v>0.421872457600601</v>
      </c>
      <c r="P22" s="22" t="str">
        <f aca="false">IF(O22="","",IF(O22&lt;0,"PREJUÍZO",IF(O22&lt;0.1,"CRÍTICO (&lt;10%)",IF(O22&lt;0.15,"ABAIXO DA META (10-15%)",IF(O22&lt;=0.2,"DENTRO DA META (15-20%)","ACIMA DA META (&gt;20%)")))))</f>
        <v>ACIMA DA META (&gt;20%)</v>
      </c>
      <c r="Q22" s="19" t="s">
        <v>229</v>
      </c>
      <c r="R22" s="19" t="s">
        <v>207</v>
      </c>
    </row>
    <row r="23" customFormat="false" ht="15" hidden="false" customHeight="true" outlineLevel="0" collapsed="false">
      <c r="A23" s="32" t="n">
        <v>46207</v>
      </c>
      <c r="B23" s="19" t="s">
        <v>125</v>
      </c>
      <c r="C23" s="19" t="n">
        <v>1</v>
      </c>
      <c r="D23" s="19" t="s">
        <v>211</v>
      </c>
      <c r="E23" s="20" t="n">
        <f aca="false">IF($B23="","",INDEX(Simulador!$D$7:$D$232,MATCH($B23,Simulador!$A$7:$A$232,0)))</f>
        <v>203.54</v>
      </c>
      <c r="F23" s="20"/>
      <c r="G23" s="13" t="n">
        <f aca="false">IF(OR($B23="",$C23=""),"",$C23*E23-IF(F23="",0,F23))</f>
        <v>203.54</v>
      </c>
      <c r="H23" s="8" t="str">
        <f aca="false">IF($B23="","",INDEX(Simulador!$B$7:$B$232,MATCH($B23,Simulador!$A$7:$A$232,0)))</f>
        <v>Pequenos</v>
      </c>
      <c r="I23" s="13" t="n">
        <f aca="false">IF(OR(H23="",$D23=""),"",INDEX(Ref_Frete!$B$2:$G$54,MATCH($D23,Ref_Frete!$A$2:$A$54,0),IF(H23="Pequenos",2,IF(H23="Medios",4,6))))</f>
        <v>12.9</v>
      </c>
      <c r="J23" s="20" t="n">
        <v>15.49</v>
      </c>
      <c r="K23" s="20" t="n">
        <f aca="false">IF(G23="","",ROUND($D$3*(G23+IF(I23="",0,I23)),2))</f>
        <v>29.22</v>
      </c>
      <c r="L23" s="13" t="n">
        <f aca="false">IF(OR($B23="",$C23=""),"",$C23*INDEX(Simulador!$F$7:$F$232,MATCH($B23,Simulador!$A$7:$A$232,0)))</f>
        <v>102.8</v>
      </c>
      <c r="M23" s="13" t="n">
        <f aca="false">IF(G23="","",G23*$B$3)</f>
        <v>20.354</v>
      </c>
      <c r="N23" s="35" t="n">
        <f aca="false">IF(OR(G23="",J23=""),"",G23+IF(I23="",0,I23)-J23-K23-L23-M23)</f>
        <v>48.576</v>
      </c>
      <c r="O23" s="12" t="n">
        <f aca="false">IF(OR(N23="",G23=0,G23=""),"",N23/G23)</f>
        <v>0.238655792473224</v>
      </c>
      <c r="P23" s="22" t="str">
        <f aca="false">IF(O23="","",IF(O23&lt;0,"PREJUÍZO",IF(O23&lt;0.1,"CRÍTICO (&lt;10%)",IF(O23&lt;0.15,"ABAIXO DA META (10-15%)",IF(O23&lt;=0.2,"DENTRO DA META (15-20%)","ACIMA DA META (&gt;20%)")))))</f>
        <v>ACIMA DA META (&gt;20%)</v>
      </c>
      <c r="Q23" s="19" t="s">
        <v>230</v>
      </c>
      <c r="R23" s="19" t="s">
        <v>207</v>
      </c>
    </row>
    <row r="24" customFormat="false" ht="15" hidden="false" customHeight="true" outlineLevel="0" collapsed="false">
      <c r="A24" s="32" t="n">
        <v>46211</v>
      </c>
      <c r="B24" s="19" t="s">
        <v>125</v>
      </c>
      <c r="C24" s="19" t="n">
        <v>3</v>
      </c>
      <c r="D24" s="19" t="s">
        <v>231</v>
      </c>
      <c r="E24" s="20" t="n">
        <f aca="false">IF($B24="","",INDEX(Simulador!$D$7:$D$232,MATCH($B24,Simulador!$A$7:$A$232,0)))</f>
        <v>203.54</v>
      </c>
      <c r="F24" s="20"/>
      <c r="G24" s="13" t="n">
        <f aca="false">IF(OR($B24="",$C24=""),"",$C24*E24-IF(F24="",0,F24))</f>
        <v>610.62</v>
      </c>
      <c r="H24" s="8" t="str">
        <f aca="false">IF($B24="","",INDEX(Simulador!$B$7:$B$232,MATCH($B24,Simulador!$A$7:$A$232,0)))</f>
        <v>Pequenos</v>
      </c>
      <c r="I24" s="13" t="n">
        <v>159.96</v>
      </c>
      <c r="J24" s="20" t="n">
        <v>80.55</v>
      </c>
      <c r="K24" s="20" t="n">
        <f aca="false">IF(G24="","",ROUND($D$3*(G24+IF(I24="",0,I24)),2))</f>
        <v>104.03</v>
      </c>
      <c r="L24" s="13" t="n">
        <f aca="false">IF(OR($B24="",$C24=""),"",$C24*INDEX(Simulador!$F$7:$F$232,MATCH($B24,Simulador!$A$7:$A$232,0)))</f>
        <v>308.4</v>
      </c>
      <c r="M24" s="13" t="n">
        <f aca="false">IF(G24="","",G24*$B$3)</f>
        <v>61.062</v>
      </c>
      <c r="N24" s="35" t="n">
        <f aca="false">IF(OR(G24="",J24=""),"",G24+IF(I24="",0,I24)-J24-K24-L24-M24)</f>
        <v>216.538</v>
      </c>
      <c r="O24" s="12" t="n">
        <f aca="false">IF(OR(N24="",G24=0,G24=""),"",N24/G24)</f>
        <v>0.354619894533425</v>
      </c>
      <c r="P24" s="22" t="str">
        <f aca="false">IF(O24="","",IF(O24&lt;0,"PREJUÍZO",IF(O24&lt;0.1,"CRÍTICO (&lt;10%)",IF(O24&lt;0.15,"ABAIXO DA META (10-15%)",IF(O24&lt;=0.2,"DENTRO DA META (15-20%)","ACIMA DA META (&gt;20%)")))))</f>
        <v>ACIMA DA META (&gt;20%)</v>
      </c>
      <c r="Q24" s="19" t="s">
        <v>232</v>
      </c>
      <c r="R24" s="19" t="s">
        <v>210</v>
      </c>
    </row>
    <row r="25" customFormat="false" ht="15" hidden="false" customHeight="true" outlineLevel="0" collapsed="false">
      <c r="A25" s="32" t="n">
        <v>46212</v>
      </c>
      <c r="B25" s="19" t="s">
        <v>37</v>
      </c>
      <c r="C25" s="19" t="n">
        <v>1</v>
      </c>
      <c r="D25" s="19" t="s">
        <v>98</v>
      </c>
      <c r="E25" s="20" t="n">
        <f aca="false">IF($B25="","",INDEX(Simulador!$D$7:$D$232,MATCH($B25,Simulador!$A$7:$A$232,0)))</f>
        <v>116</v>
      </c>
      <c r="F25" s="13"/>
      <c r="G25" s="13" t="n">
        <f aca="false">IF(OR($B25="",$C25=""),"",$C25*E25-IF(F25="",0,F25))</f>
        <v>116</v>
      </c>
      <c r="H25" s="8" t="str">
        <f aca="false">IF($B25="","",INDEX(Simulador!$B$7:$B$232,MATCH($B25,Simulador!$A$7:$A$232,0)))</f>
        <v>Pequenos</v>
      </c>
      <c r="I25" s="13" t="n">
        <f aca="false">IF(OR(H25="",$D25=""),"",INDEX(Ref_Frete!$B$2:$G$54,MATCH($D25,Ref_Frete!$A$2:$A$54,0),IF(H25="Pequenos",2,IF(H25="Medios",4,6))))</f>
        <v>16.9</v>
      </c>
      <c r="J25" s="13" t="n">
        <v>16.64</v>
      </c>
      <c r="K25" s="20" t="n">
        <f aca="false">IF(G25="","",ROUND($D$3*(G25+IF(I25="",0,I25)),2))</f>
        <v>17.94</v>
      </c>
      <c r="L25" s="13" t="n">
        <f aca="false">IF(OR($B25="",$C25=""),"",$C25*INDEX(Simulador!$F$7:$F$232,MATCH($B25,Simulador!$A$7:$A$232,0)))</f>
        <v>54.47</v>
      </c>
      <c r="M25" s="13" t="n">
        <f aca="false">IF(G25="","",G25*$B$3)</f>
        <v>11.6</v>
      </c>
      <c r="N25" s="35" t="n">
        <f aca="false">IF(OR(G25="",J25=""),"",G25+IF(I25="",0,I25)-J25-K25-L25-M25)</f>
        <v>32.25</v>
      </c>
      <c r="O25" s="12" t="n">
        <f aca="false">IF(OR(N25="",G25=0,G25=""),"",N25/G25)</f>
        <v>0.27801724137931</v>
      </c>
      <c r="P25" s="22" t="str">
        <f aca="false">IF(O25="","",IF(O25&lt;0,"PREJUÍZO",IF(O25&lt;0.1,"CRÍTICO (&lt;10%)",IF(O25&lt;0.15,"ABAIXO DA META (10-15%)",IF(O25&lt;=0.2,"DENTRO DA META (15-20%)","ACIMA DA META (&gt;20%)")))))</f>
        <v>ACIMA DA META (&gt;20%)</v>
      </c>
      <c r="Q25" s="19" t="s">
        <v>233</v>
      </c>
      <c r="R25" s="19" t="s">
        <v>210</v>
      </c>
    </row>
    <row r="26" customFormat="false" ht="15" hidden="false" customHeight="true" outlineLevel="0" collapsed="false">
      <c r="A26" s="32" t="n">
        <v>46212</v>
      </c>
      <c r="B26" s="19" t="s">
        <v>155</v>
      </c>
      <c r="C26" s="19" t="n">
        <v>1</v>
      </c>
      <c r="D26" s="19" t="s">
        <v>208</v>
      </c>
      <c r="E26" s="20" t="n">
        <f aca="false">IF($B26="","",INDEX(Simulador!$D$7:$D$232,MATCH($B26,Simulador!$A$7:$A$232,0)))</f>
        <v>467.67</v>
      </c>
      <c r="F26" s="13"/>
      <c r="G26" s="13" t="n">
        <f aca="false">IF(OR($B26="",$C26=""),"",$C26*E26-IF(F26="",0,F26))</f>
        <v>467.67</v>
      </c>
      <c r="H26" s="8" t="str">
        <f aca="false">IF($B26="","",INDEX(Simulador!$B$7:$B$232,MATCH($B26,Simulador!$A$7:$A$232,0)))</f>
        <v>Medios</v>
      </c>
      <c r="I26" s="13" t="n">
        <f aca="false">IF(OR(H26="",$D26=""),"",INDEX(Ref_Frete!$B$2:$G$54,MATCH($D26,Ref_Frete!$A$2:$A$54,0),IF(H26="Pequenos",2,IF(H26="Medios",4,6))))</f>
        <v>69.9</v>
      </c>
      <c r="J26" s="13" t="n">
        <v>57.77</v>
      </c>
      <c r="K26" s="20" t="n">
        <f aca="false">IF(G26="","",ROUND($D$3*(G26+IF(I26="",0,I26)),2))</f>
        <v>72.57</v>
      </c>
      <c r="L26" s="13" t="n">
        <f aca="false">IF(OR($B26="",$C26=""),"",$C26*INDEX(Simulador!$F$7:$F$232,MATCH($B26,Simulador!$A$7:$A$232,0)))</f>
        <v>240.55</v>
      </c>
      <c r="M26" s="13" t="n">
        <f aca="false">IF(G26="","",G26*$B$3)</f>
        <v>46.767</v>
      </c>
      <c r="N26" s="35" t="n">
        <f aca="false">IF(OR(G26="",J26=""),"",G26+IF(I26="",0,I26)-J26-K26-L26-M26)</f>
        <v>119.913</v>
      </c>
      <c r="O26" s="12" t="n">
        <f aca="false">IF(OR(N26="",G26=0,G26=""),"",N26/G26)</f>
        <v>0.256405157482841</v>
      </c>
      <c r="P26" s="22" t="str">
        <f aca="false">IF(O26="","",IF(O26&lt;0,"PREJUÍZO",IF(O26&lt;0.1,"CRÍTICO (&lt;10%)",IF(O26&lt;0.15,"ABAIXO DA META (10-15%)",IF(O26&lt;=0.2,"DENTRO DA META (15-20%)","ACIMA DA META (&gt;20%)")))))</f>
        <v>ACIMA DA META (&gt;20%)</v>
      </c>
      <c r="Q26" s="19" t="s">
        <v>234</v>
      </c>
      <c r="R26" s="19" t="s">
        <v>210</v>
      </c>
    </row>
    <row r="27" customFormat="false" ht="15" hidden="false" customHeight="true" outlineLevel="0" collapsed="false">
      <c r="A27" s="32" t="n">
        <v>46223</v>
      </c>
      <c r="B27" s="19" t="s">
        <v>125</v>
      </c>
      <c r="C27" s="19" t="n">
        <v>1</v>
      </c>
      <c r="D27" s="19" t="s">
        <v>225</v>
      </c>
      <c r="E27" s="20" t="n">
        <f aca="false">IF($B27="","",INDEX(Simulador!$D$7:$D$232,MATCH($B27,Simulador!$A$7:$A$232,0)))</f>
        <v>203.54</v>
      </c>
      <c r="F27" s="20" t="n">
        <v>10.18</v>
      </c>
      <c r="G27" s="13" t="n">
        <f aca="false">IF(OR($B27="",$C27=""),"",$C27*E27-IF(F27="",0,F27))</f>
        <v>193.36</v>
      </c>
      <c r="H27" s="8" t="str">
        <f aca="false">IF($B27="","",INDEX(Simulador!$B$7:$B$232,MATCH($B27,Simulador!$A$7:$A$232,0)))</f>
        <v>Pequenos</v>
      </c>
      <c r="I27" s="13" t="n">
        <v>37.49</v>
      </c>
      <c r="J27" s="20" t="n">
        <v>20.94</v>
      </c>
      <c r="K27" s="20" t="n">
        <f aca="false">IF(G27="","",ROUND($D$3*(G27+IF(I27="",0,I27)),2))</f>
        <v>31.16</v>
      </c>
      <c r="L27" s="13" t="n">
        <f aca="false">IF(OR($B27="",$C27=""),"",$C27*INDEX(Simulador!$F$7:$F$232,MATCH($B27,Simulador!$A$7:$A$232,0)))</f>
        <v>102.8</v>
      </c>
      <c r="M27" s="13" t="n">
        <f aca="false">IF(G27="","",G27*$B$3)</f>
        <v>19.336</v>
      </c>
      <c r="N27" s="35" t="n">
        <f aca="false">IF(OR(G27="",J27=""),"",G27+IF(I27="",0,I27)-J27-K27-L27-M27)</f>
        <v>56.614</v>
      </c>
      <c r="O27" s="12" t="n">
        <f aca="false">IF(OR(N27="",G27=0,G27=""),"",N27/G27)</f>
        <v>0.292790649565577</v>
      </c>
      <c r="P27" s="22" t="str">
        <f aca="false">IF(O27="","",IF(O27&lt;0,"PREJUÍZO",IF(O27&lt;0.1,"CRÍTICO (&lt;10%)",IF(O27&lt;0.15,"ABAIXO DA META (10-15%)",IF(O27&lt;=0.2,"DENTRO DA META (15-20%)","ACIMA DA META (&gt;20%)")))))</f>
        <v>ACIMA DA META (&gt;20%)</v>
      </c>
      <c r="Q27" s="19" t="s">
        <v>235</v>
      </c>
      <c r="R27" s="19" t="s">
        <v>210</v>
      </c>
    </row>
    <row r="28" customFormat="false" ht="15" hidden="false" customHeight="true" outlineLevel="0" collapsed="false">
      <c r="A28" s="32" t="n">
        <v>46224</v>
      </c>
      <c r="B28" s="19" t="s">
        <v>126</v>
      </c>
      <c r="C28" s="19" t="n">
        <v>1</v>
      </c>
      <c r="D28" s="19" t="s">
        <v>97</v>
      </c>
      <c r="E28" s="20" t="n">
        <f aca="false">IF($B28="","",INDEX(Simulador!$D$7:$D$232,MATCH($B28,Simulador!$A$7:$A$232,0)))</f>
        <v>167.89</v>
      </c>
      <c r="F28" s="20" t="n">
        <v>8.39</v>
      </c>
      <c r="G28" s="13" t="n">
        <f aca="false">IF(OR($B28="",$C28=""),"",$C28*E28-IF(F28="",0,F28))</f>
        <v>159.5</v>
      </c>
      <c r="H28" s="8" t="str">
        <f aca="false">IF($B28="","",INDEX(Simulador!$B$7:$B$232,MATCH($B28,Simulador!$A$7:$A$232,0)))</f>
        <v>Pequenos</v>
      </c>
      <c r="I28" s="13" t="n">
        <f aca="false">IF(OR(H28="",$D28=""),"",INDEX(Ref_Frete!$B$2:$G$54,MATCH($D28,Ref_Frete!$A$2:$A$54,0),IF(H28="Pequenos",2,IF(H28="Medios",4,6))))</f>
        <v>24.9</v>
      </c>
      <c r="J28" s="20" t="n">
        <v>21.19</v>
      </c>
      <c r="K28" s="20" t="n">
        <f aca="false">IF(G28="","",ROUND($D$3*(G28+IF(I28="",0,I28)),2))</f>
        <v>24.89</v>
      </c>
      <c r="L28" s="13" t="n">
        <f aca="false">IF(OR($B28="",$C28=""),"",$C28*INDEX(Simulador!$F$7:$F$232,MATCH($B28,Simulador!$A$7:$A$232,0)))</f>
        <v>84.79</v>
      </c>
      <c r="M28" s="13" t="n">
        <f aca="false">IF(G28="","",G28*$B$3)</f>
        <v>15.95</v>
      </c>
      <c r="N28" s="35" t="n">
        <f aca="false">IF(OR(G28="",J28=""),"",G28+IF(I28="",0,I28)-J28-K28-L28-M28)</f>
        <v>37.58</v>
      </c>
      <c r="O28" s="12" t="n">
        <f aca="false">IF(OR(N28="",G28=0,G28=""),"",N28/G28)</f>
        <v>0.235611285266458</v>
      </c>
      <c r="P28" s="22" t="str">
        <f aca="false">IF(O28="","",IF(O28&lt;0,"PREJUÍZO",IF(O28&lt;0.1,"CRÍTICO (&lt;10%)",IF(O28&lt;0.15,"ABAIXO DA META (10-15%)",IF(O28&lt;=0.2,"DENTRO DA META (15-20%)","ACIMA DA META (&gt;20%)")))))</f>
        <v>ACIMA DA META (&gt;20%)</v>
      </c>
      <c r="Q28" s="19" t="s">
        <v>236</v>
      </c>
      <c r="R28" s="19" t="s">
        <v>210</v>
      </c>
    </row>
    <row r="29" customFormat="false" ht="15" hidden="false" customHeight="true" outlineLevel="0" collapsed="false">
      <c r="A29" s="32" t="n">
        <v>46225</v>
      </c>
      <c r="B29" s="19" t="s">
        <v>31</v>
      </c>
      <c r="C29" s="19" t="n">
        <v>1</v>
      </c>
      <c r="D29" s="19" t="s">
        <v>98</v>
      </c>
      <c r="E29" s="20" t="n">
        <v>127.66</v>
      </c>
      <c r="F29" s="20" t="n">
        <v>1.53</v>
      </c>
      <c r="G29" s="13" t="n">
        <f aca="false">IF(OR($B29="",$C29=""),"",$C29*E29-IF(F29="",0,F29))</f>
        <v>126.13</v>
      </c>
      <c r="H29" s="8" t="str">
        <f aca="false">IF($B29="","",INDEX(Simulador!$B$7:$B$232,MATCH($B29,Simulador!$A$7:$A$232,0)))</f>
        <v>Pequenos</v>
      </c>
      <c r="I29" s="13" t="n">
        <f aca="false">IF(OR(H29="",$D29=""),"",INDEX(Ref_Frete!$B$2:$G$54,MATCH($D29,Ref_Frete!$A$2:$A$54,0),IF(H29="Pequenos",2,IF(H29="Medios",4,6))))</f>
        <v>16.9</v>
      </c>
      <c r="J29" s="20" t="n">
        <v>40.18</v>
      </c>
      <c r="K29" s="20" t="n">
        <f aca="false">IF(G29="","",ROUND($D$3*(G29+IF(I29="",0,I29)),2))</f>
        <v>19.31</v>
      </c>
      <c r="L29" s="13" t="n">
        <f aca="false">IF(OR($B29="",$C29=""),"",$C29*INDEX(Simulador!$F$7:$F$232,MATCH($B29,Simulador!$A$7:$A$232,0)))</f>
        <v>69.52</v>
      </c>
      <c r="M29" s="13" t="n">
        <f aca="false">IF(G29="","",G29*$B$3)</f>
        <v>12.613</v>
      </c>
      <c r="N29" s="35" t="n">
        <f aca="false">IF(OR(G29="",J29=""),"",G29+IF(I29="",0,I29)-J29-K29-L29-M29)</f>
        <v>1.407</v>
      </c>
      <c r="O29" s="12" t="n">
        <f aca="false">IF(OR(N29="",G29=0,G29=""),"",N29/G29)</f>
        <v>0.0111551573773091</v>
      </c>
      <c r="P29" s="22" t="str">
        <f aca="false">IF(O29="","",IF(O29&lt;0,"PREJUÍZO",IF(O29&lt;0.1,"CRÍTICO (&lt;10%)",IF(O29&lt;0.15,"ABAIXO DA META (10-15%)",IF(O29&lt;=0.2,"DENTRO DA META (15-20%)","ACIMA DA META (&gt;20%)")))))</f>
        <v>CRÍTICO (&lt;10%)</v>
      </c>
      <c r="Q29" s="19" t="s">
        <v>237</v>
      </c>
      <c r="R29" s="19" t="s">
        <v>210</v>
      </c>
    </row>
    <row r="30" customFormat="false" ht="15" hidden="false" customHeight="true" outlineLevel="0" collapsed="false">
      <c r="A30" s="32" t="n">
        <v>46225</v>
      </c>
      <c r="B30" s="19" t="s">
        <v>105</v>
      </c>
      <c r="C30" s="19" t="n">
        <v>1</v>
      </c>
      <c r="D30" s="19" t="s">
        <v>98</v>
      </c>
      <c r="E30" s="20" t="n">
        <v>131.24</v>
      </c>
      <c r="F30" s="20" t="n">
        <v>1.58</v>
      </c>
      <c r="G30" s="13" t="n">
        <f aca="false">IF(OR($B30="",$C30=""),"",$C30*E30-IF(F30="",0,F30))</f>
        <v>129.66</v>
      </c>
      <c r="H30" s="8" t="str">
        <f aca="false">IF($B30="","",INDEX(Simulador!$B$7:$B$232,MATCH($B30,Simulador!$A$7:$A$232,0)))</f>
        <v>Pequenos</v>
      </c>
      <c r="I30" s="20" t="n">
        <v>0</v>
      </c>
      <c r="J30" s="20" t="n">
        <v>0</v>
      </c>
      <c r="K30" s="20" t="n">
        <f aca="false">IF(G30="","",ROUND($D$3*(G30+IF(I30="",0,I30)),2))</f>
        <v>17.5</v>
      </c>
      <c r="L30" s="13" t="n">
        <f aca="false">IF(OR($B30="",$C30=""),"",$C30*INDEX(Simulador!$F$7:$F$232,MATCH($B30,Simulador!$A$7:$A$232,0)))</f>
        <v>65.95</v>
      </c>
      <c r="M30" s="13" t="n">
        <f aca="false">IF(G30="","",G30*$B$3)</f>
        <v>12.966</v>
      </c>
      <c r="N30" s="35" t="n">
        <f aca="false">IF(OR(G30="",J30=""),"",G30+IF(I30="",0,I30)-J30-K30-L30-M30)</f>
        <v>33.244</v>
      </c>
      <c r="O30" s="12" t="n">
        <f aca="false">IF(OR(N30="",G30=0,G30=""),"",N30/G30)</f>
        <v>0.256393644917476</v>
      </c>
      <c r="P30" s="22" t="str">
        <f aca="false">IF(O30="","",IF(O30&lt;0,"PREJUÍZO",IF(O30&lt;0.1,"CRÍTICO (&lt;10%)",IF(O30&lt;0.15,"ABAIXO DA META (10-15%)",IF(O30&lt;=0.2,"DENTRO DA META (15-20%)","ACIMA DA META (&gt;20%)")))))</f>
        <v>ACIMA DA META (&gt;20%)</v>
      </c>
      <c r="Q30" s="19" t="s">
        <v>238</v>
      </c>
      <c r="R30" s="19" t="s">
        <v>210</v>
      </c>
    </row>
    <row r="31" customFormat="false" ht="15" hidden="false" customHeight="true" outlineLevel="0" collapsed="false">
      <c r="A31" s="32" t="n">
        <v>46225</v>
      </c>
      <c r="B31" s="19" t="s">
        <v>46</v>
      </c>
      <c r="C31" s="19" t="n">
        <v>2</v>
      </c>
      <c r="D31" s="19" t="s">
        <v>98</v>
      </c>
      <c r="E31" s="20" t="n">
        <v>119.22</v>
      </c>
      <c r="F31" s="20" t="n">
        <v>2.85</v>
      </c>
      <c r="G31" s="13" t="n">
        <f aca="false">IF(OR($B31="",$C31=""),"",$C31*E31-IF(F31="",0,F31))</f>
        <v>235.59</v>
      </c>
      <c r="H31" s="8" t="str">
        <f aca="false">IF($B31="","",INDEX(Simulador!$B$7:$B$232,MATCH($B31,Simulador!$A$7:$A$232,0)))</f>
        <v>Pequenos</v>
      </c>
      <c r="I31" s="20" t="n">
        <v>0</v>
      </c>
      <c r="J31" s="20" t="n">
        <v>0</v>
      </c>
      <c r="K31" s="20" t="n">
        <f aca="false">IF(G31="","",ROUND($D$3*(G31+IF(I31="",0,I31)),2))</f>
        <v>31.8</v>
      </c>
      <c r="L31" s="13" t="n">
        <f aca="false">IF(OR($B31="",$C31=""),"",$C31*INDEX(Simulador!$F$7:$F$232,MATCH($B31,Simulador!$A$7:$A$232,0)))</f>
        <v>110.98</v>
      </c>
      <c r="M31" s="13" t="n">
        <f aca="false">IF(G31="","",G31*$B$3)</f>
        <v>23.559</v>
      </c>
      <c r="N31" s="35" t="n">
        <f aca="false">IF(OR(G31="",J31=""),"",G31+IF(I31="",0,I31)-J31-K31-L31-M31)</f>
        <v>69.251</v>
      </c>
      <c r="O31" s="12" t="n">
        <f aca="false">IF(OR(N31="",G31=0,G31=""),"",N31/G31)</f>
        <v>0.29394711150728</v>
      </c>
      <c r="P31" s="22" t="str">
        <f aca="false">IF(O31="","",IF(O31&lt;0,"PREJUÍZO",IF(O31&lt;0.1,"CRÍTICO (&lt;10%)",IF(O31&lt;0.15,"ABAIXO DA META (10-15%)",IF(O31&lt;=0.2,"DENTRO DA META (15-20%)","ACIMA DA META (&gt;20%)")))))</f>
        <v>ACIMA DA META (&gt;20%)</v>
      </c>
      <c r="Q31" s="19" t="s">
        <v>238</v>
      </c>
      <c r="R31" s="19" t="s">
        <v>210</v>
      </c>
    </row>
    <row r="32" customFormat="false" ht="15" hidden="false" customHeight="true" outlineLevel="0" collapsed="false">
      <c r="A32" s="32" t="n">
        <v>46238</v>
      </c>
      <c r="B32" s="19" t="s">
        <v>126</v>
      </c>
      <c r="C32" s="19" t="n">
        <v>3</v>
      </c>
      <c r="D32" s="19" t="s">
        <v>239</v>
      </c>
      <c r="E32" s="20" t="n">
        <f aca="false">IF($B32="","",INDEX(Simulador!$D$7:$D$232,MATCH($B32,Simulador!$A$7:$A$232,0)))</f>
        <v>167.89</v>
      </c>
      <c r="F32" s="20" t="n">
        <v>25.18</v>
      </c>
      <c r="G32" s="13" t="n">
        <f aca="false">IF(OR($B32="",$C32=""),"",$C32*E32-IF(F32="",0,F32))</f>
        <v>478.49</v>
      </c>
      <c r="H32" s="8" t="str">
        <f aca="false">IF($B32="","",INDEX(Simulador!$B$7:$B$232,MATCH($B32,Simulador!$A$7:$A$232,0)))</f>
        <v>Pequenos</v>
      </c>
      <c r="I32" s="13" t="n">
        <f aca="false">IF(OR(H32="",$D32=""),"",INDEX(Ref_Frete!$B$2:$G$54,MATCH($D32,Ref_Frete!$A$2:$A$54,0),IF(H32="Pequenos",2,IF(H32="Medios",4,6))))</f>
        <v>70</v>
      </c>
      <c r="J32" s="20" t="n">
        <v>87.96</v>
      </c>
      <c r="K32" s="20" t="n">
        <f aca="false">IF(G32="","",ROUND($D$3*(G32+IF(I32="",0,I32)),2))</f>
        <v>74.05</v>
      </c>
      <c r="L32" s="13" t="n">
        <f aca="false">IF(OR($B32="",$C32=""),"",$C32*INDEX(Simulador!$F$7:$F$232,MATCH($B32,Simulador!$A$7:$A$232,0)))</f>
        <v>254.37</v>
      </c>
      <c r="M32" s="13" t="n">
        <f aca="false">IF(G32="","",G32*$B$3)</f>
        <v>47.849</v>
      </c>
      <c r="N32" s="35" t="n">
        <f aca="false">IF(OR(G32="",J32=""),"",G32+IF(I32="",0,I32)-J32-K32-L32-M32)</f>
        <v>84.261</v>
      </c>
      <c r="O32" s="12" t="n">
        <f aca="false">IF(OR(N32="",G32=0,G32=""),"",N32/G32)</f>
        <v>0.176097724090368</v>
      </c>
      <c r="P32" s="22" t="str">
        <f aca="false">IF(O32="","",IF(O32&lt;0,"PREJUÍZO",IF(O32&lt;0.1,"CRÍTICO (&lt;10%)",IF(O32&lt;0.15,"ABAIXO DA META (10-15%)",IF(O32&lt;=0.2,"DENTRO DA META (15-20%)","ACIMA DA META (&gt;20%)")))))</f>
        <v>DENTRO DA META (15-20%)</v>
      </c>
      <c r="Q32" s="19" t="s">
        <v>240</v>
      </c>
      <c r="R32" s="19" t="s">
        <v>210</v>
      </c>
    </row>
    <row r="33" customFormat="false" ht="15" hidden="false" customHeight="true" outlineLevel="0" collapsed="false">
      <c r="A33" s="32" t="n">
        <v>46239</v>
      </c>
      <c r="B33" s="19" t="s">
        <v>37</v>
      </c>
      <c r="C33" s="19" t="n">
        <v>1</v>
      </c>
      <c r="D33" s="19" t="s">
        <v>241</v>
      </c>
      <c r="E33" s="20" t="n">
        <f aca="false">IF($B33="","",INDEX(Simulador!$D$7:$D$232,MATCH($B33,Simulador!$A$7:$A$232,0)))</f>
        <v>116</v>
      </c>
      <c r="F33" s="20"/>
      <c r="G33" s="13" t="n">
        <f aca="false">IF(OR($B33="",$C33=""),"",$C33*E33-IF(F33="",0,F33))</f>
        <v>116</v>
      </c>
      <c r="H33" s="8" t="str">
        <f aca="false">IF($B33="","",INDEX(Simulador!$B$7:$B$232,MATCH($B33,Simulador!$A$7:$A$232,0)))</f>
        <v>Pequenos</v>
      </c>
      <c r="I33" s="13" t="n">
        <f aca="false">IF(OR(H33="",$D33=""),"",INDEX(Ref_Frete!$B$2:$G$54,MATCH($D33,Ref_Frete!$A$2:$A$54,0),IF(H33="Pequenos",2,IF(H33="Medios",4,6))))</f>
        <v>29.9</v>
      </c>
      <c r="J33" s="20" t="n">
        <v>19.08</v>
      </c>
      <c r="K33" s="20" t="n">
        <f aca="false">IF(G33="","",ROUND($D$3*(G33+IF(I33="",0,I33)),2))</f>
        <v>19.7</v>
      </c>
      <c r="L33" s="13" t="n">
        <f aca="false">IF(OR($B33="",$C33=""),"",$C33*INDEX(Simulador!$F$7:$F$232,MATCH($B33,Simulador!$A$7:$A$232,0)))</f>
        <v>54.47</v>
      </c>
      <c r="M33" s="13" t="n">
        <f aca="false">IF(G33="","",G33*$B$3)</f>
        <v>11.6</v>
      </c>
      <c r="N33" s="35" t="n">
        <f aca="false">IF(OR(G33="",J33=""),"",G33+IF(I33="",0,I33)-J33-K33-L33-M33)</f>
        <v>41.05</v>
      </c>
      <c r="O33" s="12" t="n">
        <f aca="false">IF(OR(N33="",G33=0,G33=""),"",N33/G33)</f>
        <v>0.353879310344828</v>
      </c>
      <c r="P33" s="22" t="str">
        <f aca="false">IF(O33="","",IF(O33&lt;0,"PREJUÍZO",IF(O33&lt;0.1,"CRÍTICO (&lt;10%)",IF(O33&lt;0.15,"ABAIXO DA META (10-15%)",IF(O33&lt;=0.2,"DENTRO DA META (15-20%)","ACIMA DA META (&gt;20%)")))))</f>
        <v>ACIMA DA META (&gt;20%)</v>
      </c>
      <c r="Q33" s="19" t="s">
        <v>242</v>
      </c>
      <c r="R33" s="19" t="s">
        <v>207</v>
      </c>
    </row>
    <row r="34" customFormat="false" ht="15" hidden="false" customHeight="true" outlineLevel="0" collapsed="false">
      <c r="A34" s="32" t="n">
        <v>46240</v>
      </c>
      <c r="B34" s="19" t="s">
        <v>106</v>
      </c>
      <c r="C34" s="19" t="n">
        <v>1</v>
      </c>
      <c r="D34" s="19" t="s">
        <v>213</v>
      </c>
      <c r="E34" s="20" t="n">
        <f aca="false">IF($B34="","",INDEX(Simulador!$D$7:$D$232,MATCH($B34,Simulador!$A$7:$A$232,0)))</f>
        <v>132.9</v>
      </c>
      <c r="F34" s="20"/>
      <c r="G34" s="13" t="n">
        <f aca="false">IF(OR($B34="",$C34=""),"",$C34*E34-IF(F34="",0,F34))</f>
        <v>132.9</v>
      </c>
      <c r="H34" s="8" t="str">
        <f aca="false">IF($B34="","",INDEX(Simulador!$B$7:$B$232,MATCH($B34,Simulador!$A$7:$A$232,0)))</f>
        <v>Pequenos</v>
      </c>
      <c r="I34" s="13" t="n">
        <f aca="false">IF(OR(H34="",$D34=""),"",INDEX(Ref_Frete!$B$2:$G$54,MATCH($D34,Ref_Frete!$A$2:$A$54,0),IF(H34="Pequenos",2,IF(H34="Medios",4,6))))</f>
        <v>24.9</v>
      </c>
      <c r="J34" s="20" t="n">
        <v>18.6</v>
      </c>
      <c r="K34" s="20" t="n">
        <f aca="false">IF(G34="","",ROUND($D$3*(G34+IF(I34="",0,I34)),2))</f>
        <v>21.3</v>
      </c>
      <c r="L34" s="13" t="n">
        <f aca="false">IF(OR($B34="",$C34=""),"",$C34*INDEX(Simulador!$F$7:$F$232,MATCH($B34,Simulador!$A$7:$A$232,0)))</f>
        <v>63.11</v>
      </c>
      <c r="M34" s="13" t="n">
        <f aca="false">IF(G34="","",G34*$B$3)</f>
        <v>13.29</v>
      </c>
      <c r="N34" s="35" t="n">
        <f aca="false">IF(OR(G34="",J34=""),"",G34+IF(I34="",0,I34)-J34-K34-L34-M34)</f>
        <v>41.5</v>
      </c>
      <c r="O34" s="12" t="n">
        <f aca="false">IF(OR(N34="",G34=0,G34=""),"",N34/G34)</f>
        <v>0.312264860797592</v>
      </c>
      <c r="P34" s="22" t="str">
        <f aca="false">IF(O34="","",IF(O34&lt;0,"PREJUÍZO",IF(O34&lt;0.1,"CRÍTICO (&lt;10%)",IF(O34&lt;0.15,"ABAIXO DA META (10-15%)",IF(O34&lt;=0.2,"DENTRO DA META (15-20%)","ACIMA DA META (&gt;20%)")))))</f>
        <v>ACIMA DA META (&gt;20%)</v>
      </c>
      <c r="Q34" s="19" t="s">
        <v>243</v>
      </c>
      <c r="R34" s="19" t="s">
        <v>210</v>
      </c>
    </row>
    <row r="35" customFormat="false" ht="15" hidden="false" customHeight="true" outlineLevel="0" collapsed="false">
      <c r="A35" s="32" t="n">
        <v>46240</v>
      </c>
      <c r="B35" s="19" t="s">
        <v>106</v>
      </c>
      <c r="C35" s="19" t="n">
        <v>2</v>
      </c>
      <c r="D35" s="19" t="s">
        <v>97</v>
      </c>
      <c r="E35" s="20" t="n">
        <f aca="false">IF($B35="","",INDEX(Simulador!$D$7:$D$232,MATCH($B35,Simulador!$A$7:$A$232,0)))</f>
        <v>132.9</v>
      </c>
      <c r="F35" s="20"/>
      <c r="G35" s="13" t="n">
        <f aca="false">IF(OR($B35="",$C35=""),"",$C35*E35-IF(F35="",0,F35))</f>
        <v>265.8</v>
      </c>
      <c r="H35" s="8" t="str">
        <f aca="false">IF($B35="","",INDEX(Simulador!$B$7:$B$232,MATCH($B35,Simulador!$A$7:$A$232,0)))</f>
        <v>Pequenos</v>
      </c>
      <c r="I35" s="13" t="n">
        <f aca="false">IF(OR(H35="",$D35=""),"",INDEX(Ref_Frete!$B$2:$G$54,MATCH($D35,Ref_Frete!$A$2:$A$54,0),IF(H35="Pequenos",2,IF(H35="Medios",4,6))))</f>
        <v>24.9</v>
      </c>
      <c r="J35" s="20" t="n">
        <v>25.56</v>
      </c>
      <c r="K35" s="20" t="n">
        <f aca="false">IF(G35="","",ROUND($D$3*(G35+IF(I35="",0,I35)),2))</f>
        <v>39.24</v>
      </c>
      <c r="L35" s="13" t="n">
        <f aca="false">IF(OR($B35="",$C35=""),"",$C35*INDEX(Simulador!$F$7:$F$232,MATCH($B35,Simulador!$A$7:$A$232,0)))</f>
        <v>126.22</v>
      </c>
      <c r="M35" s="13" t="n">
        <f aca="false">IF(G35="","",G35*$B$3)</f>
        <v>26.58</v>
      </c>
      <c r="N35" s="35" t="n">
        <f aca="false">IF(OR(G35="",J35=""),"",G35+IF(I35="",0,I35)-J35-K35-L35-M35)</f>
        <v>73.1</v>
      </c>
      <c r="O35" s="12" t="n">
        <f aca="false">IF(OR(N35="",G35=0,G35=""),"",N35/G35)</f>
        <v>0.275018811136193</v>
      </c>
      <c r="P35" s="22" t="str">
        <f aca="false">IF(O35="","",IF(O35&lt;0,"PREJUÍZO",IF(O35&lt;0.1,"CRÍTICO (&lt;10%)",IF(O35&lt;0.15,"ABAIXO DA META (10-15%)",IF(O35&lt;=0.2,"DENTRO DA META (15-20%)","ACIMA DA META (&gt;20%)")))))</f>
        <v>ACIMA DA META (&gt;20%)</v>
      </c>
      <c r="Q35" s="19" t="s">
        <v>244</v>
      </c>
      <c r="R35" s="19" t="s">
        <v>210</v>
      </c>
    </row>
    <row r="36" customFormat="false" ht="15" hidden="false" customHeight="true" outlineLevel="0" collapsed="false">
      <c r="A36" s="32" t="n">
        <v>46241</v>
      </c>
      <c r="B36" s="19" t="s">
        <v>184</v>
      </c>
      <c r="C36" s="19" t="n">
        <v>4</v>
      </c>
      <c r="D36" s="19" t="s">
        <v>211</v>
      </c>
      <c r="E36" s="20" t="n">
        <f aca="false">IF($B36="","",INDEX(Simulador!$D$7:$D$232,MATCH($B36,Simulador!$A$7:$A$232,0)))</f>
        <v>1053.17</v>
      </c>
      <c r="F36" s="20" t="n">
        <v>210.63</v>
      </c>
      <c r="G36" s="13" t="n">
        <f aca="false">IF(OR($B36="",$C36=""),"",$C36*E36-IF(F36="",0,F36))</f>
        <v>4002.05</v>
      </c>
      <c r="H36" s="8" t="str">
        <f aca="false">IF($B36="","",INDEX(Simulador!$B$7:$B$232,MATCH($B36,Simulador!$A$7:$A$232,0)))</f>
        <v>Grandes</v>
      </c>
      <c r="I36" s="13" t="n">
        <f aca="false">IF(OR(H36="",$D36=""),"",INDEX(Ref_Frete!$B$2:$G$54,MATCH($D36,Ref_Frete!$A$2:$A$54,0),IF(H36="Pequenos",2,IF(H36="Medios",4,6))))</f>
        <v>106</v>
      </c>
      <c r="J36" s="20" t="n">
        <v>300</v>
      </c>
      <c r="K36" s="20" t="n">
        <f aca="false">IF(G36="","",ROUND($D$3*(G36+IF(I36="",0,I36)),2))</f>
        <v>554.59</v>
      </c>
      <c r="L36" s="13" t="n">
        <f aca="false">IF(OR($B36="",$C36=""),"",$C36*INDEX(Simulador!$F$7:$F$232,MATCH($B36,Simulador!$A$7:$A$232,0)))</f>
        <v>2320.52</v>
      </c>
      <c r="M36" s="13" t="n">
        <f aca="false">IF(G36="","",G36*$B$3)</f>
        <v>400.205</v>
      </c>
      <c r="N36" s="35" t="n">
        <f aca="false">IF(OR(G36="",J36=""),"",G36+IF(I36="",0,I36)-J36-K36-L36-M36)</f>
        <v>532.735</v>
      </c>
      <c r="O36" s="12" t="n">
        <f aca="false">IF(OR(N36="",G36=0,G36=""),"",N36/G36)</f>
        <v>0.13311552829175</v>
      </c>
      <c r="P36" s="22" t="str">
        <f aca="false">IF(O36="","",IF(O36&lt;0,"PREJUÍZO",IF(O36&lt;0.1,"CRÍTICO (&lt;10%)",IF(O36&lt;0.15,"ABAIXO DA META (10-15%)",IF(O36&lt;=0.2,"DENTRO DA META (15-20%)","ACIMA DA META (&gt;20%)")))))</f>
        <v>ABAIXO DA META (10-15%)</v>
      </c>
      <c r="Q36" s="19"/>
      <c r="R36" s="19"/>
    </row>
    <row r="37" customFormat="false" ht="15" hidden="false" customHeight="true" outlineLevel="0" collapsed="false">
      <c r="A37" s="32" t="n">
        <v>46242</v>
      </c>
      <c r="B37" s="19" t="s">
        <v>52</v>
      </c>
      <c r="C37" s="19" t="n">
        <v>2</v>
      </c>
      <c r="D37" s="19" t="s">
        <v>211</v>
      </c>
      <c r="E37" s="20" t="n">
        <f aca="false">IF($B37="","",INDEX(Simulador!$D$7:$D$232,MATCH($B37,Simulador!$A$7:$A$232,0)))</f>
        <v>511.42</v>
      </c>
      <c r="F37" s="20"/>
      <c r="G37" s="13" t="n">
        <f aca="false">IF(OR($B37="",$C37=""),"",$C37*E37-IF(F37="",0,F37))</f>
        <v>1022.84</v>
      </c>
      <c r="H37" s="8" t="str">
        <f aca="false">IF($B37="","",INDEX(Simulador!$B$7:$B$232,MATCH($B37,Simulador!$A$7:$A$232,0)))</f>
        <v>Medios</v>
      </c>
      <c r="I37" s="13" t="n">
        <f aca="false">IF(OR(H37="",$D37=""),"",INDEX(Ref_Frete!$B$2:$G$54,MATCH($D37,Ref_Frete!$A$2:$A$54,0),IF(H37="Pequenos",2,IF(H37="Medios",4,6))))</f>
        <v>34.9</v>
      </c>
      <c r="J37" s="20" t="n">
        <v>75.23</v>
      </c>
      <c r="K37" s="20" t="n">
        <f aca="false">IF(G37="","",ROUND($D$3*(G37+IF(I37="",0,I37)),2))</f>
        <v>142.79</v>
      </c>
      <c r="L37" s="13" t="n">
        <f aca="false">IF(OR($B37="",$C37=""),"",$C37*INDEX(Simulador!$F$7:$F$232,MATCH($B37,Simulador!$A$7:$A$232,0)))</f>
        <v>484.52</v>
      </c>
      <c r="M37" s="13" t="n">
        <f aca="false">IF(G37="","",G37*$B$3)</f>
        <v>102.284</v>
      </c>
      <c r="N37" s="35" t="n">
        <f aca="false">IF(OR(G37="",J37=""),"",G37+IF(I37="",0,I37)-J37-K37-L37-M37)</f>
        <v>252.916</v>
      </c>
      <c r="O37" s="12" t="n">
        <f aca="false">IF(OR(N37="",G37=0,G37=""),"",N37/G37)</f>
        <v>0.247268389973016</v>
      </c>
      <c r="P37" s="22" t="str">
        <f aca="false">IF(O37="","",IF(O37&lt;0,"PREJUÍZO",IF(O37&lt;0.1,"CRÍTICO (&lt;10%)",IF(O37&lt;0.15,"ABAIXO DA META (10-15%)",IF(O37&lt;=0.2,"DENTRO DA META (15-20%)","ACIMA DA META (&gt;20%)")))))</f>
        <v>ACIMA DA META (&gt;20%)</v>
      </c>
      <c r="Q37" s="19"/>
      <c r="R37" s="19"/>
    </row>
    <row r="38" customFormat="false" ht="15" hidden="false" customHeight="true" outlineLevel="0" collapsed="false">
      <c r="A38" s="32" t="n">
        <v>46242</v>
      </c>
      <c r="B38" s="19" t="s">
        <v>37</v>
      </c>
      <c r="C38" s="19" t="n">
        <v>1</v>
      </c>
      <c r="D38" s="19" t="s">
        <v>211</v>
      </c>
      <c r="E38" s="20" t="n">
        <f aca="false">IF($B38="","",INDEX(Simulador!$D$7:$D$232,MATCH($B38,Simulador!$A$7:$A$232,0)))</f>
        <v>116</v>
      </c>
      <c r="F38" s="20"/>
      <c r="G38" s="13" t="n">
        <f aca="false">IF(OR($B38="",$C38=""),"",$C38*E38-IF(F38="",0,F38))</f>
        <v>116</v>
      </c>
      <c r="H38" s="8" t="str">
        <f aca="false">IF($B38="","",INDEX(Simulador!$B$7:$B$232,MATCH($B38,Simulador!$A$7:$A$232,0)))</f>
        <v>Pequenos</v>
      </c>
      <c r="I38" s="13" t="n">
        <f aca="false">IF(OR(H38="",$D38=""),"",INDEX(Ref_Frete!$B$2:$G$54,MATCH($D38,Ref_Frete!$A$2:$A$54,0),IF(H38="Pequenos",2,IF(H38="Medios",4,6))))</f>
        <v>12.9</v>
      </c>
      <c r="J38" s="20" t="n">
        <v>11.68</v>
      </c>
      <c r="K38" s="20" t="n">
        <f aca="false">IF(G38="","",ROUND($D$3*(G38+IF(I38="",0,I38)),2))</f>
        <v>17.4</v>
      </c>
      <c r="L38" s="13" t="n">
        <f aca="false">IF(OR($B38="",$C38=""),"",$C38*INDEX(Simulador!$F$7:$F$232,MATCH($B38,Simulador!$A$7:$A$232,0)))</f>
        <v>54.47</v>
      </c>
      <c r="M38" s="13" t="n">
        <f aca="false">IF(G38="","",G38*$B$3)</f>
        <v>11.6</v>
      </c>
      <c r="N38" s="35" t="n">
        <f aca="false">IF(OR(G38="",J38=""),"",G38+IF(I38="",0,I38)-J38-K38-L38-M38)</f>
        <v>33.75</v>
      </c>
      <c r="O38" s="12" t="n">
        <f aca="false">IF(OR(N38="",G38=0,G38=""),"",N38/G38)</f>
        <v>0.290948275862069</v>
      </c>
      <c r="P38" s="22" t="str">
        <f aca="false">IF(O38="","",IF(O38&lt;0,"PREJUÍZO",IF(O38&lt;0.1,"CRÍTICO (&lt;10%)",IF(O38&lt;0.15,"ABAIXO DA META (10-15%)",IF(O38&lt;=0.2,"DENTRO DA META (15-20%)","ACIMA DA META (&gt;20%)")))))</f>
        <v>ACIMA DA META (&gt;20%)</v>
      </c>
      <c r="Q38" s="19"/>
      <c r="R38" s="19"/>
    </row>
    <row r="39" customFormat="false" ht="15" hidden="false" customHeight="true" outlineLevel="0" collapsed="false">
      <c r="A39" s="32" t="n">
        <v>46245</v>
      </c>
      <c r="B39" s="19" t="s">
        <v>132</v>
      </c>
      <c r="C39" s="19" t="n">
        <v>3</v>
      </c>
      <c r="D39" s="19" t="s">
        <v>245</v>
      </c>
      <c r="E39" s="20" t="n">
        <f aca="false">IF($B39="","",INDEX(Simulador!$D$7:$D$232,MATCH($B39,Simulador!$A$7:$A$232,0)))</f>
        <v>290.17</v>
      </c>
      <c r="F39" s="20" t="n">
        <v>43.53</v>
      </c>
      <c r="G39" s="13" t="n">
        <f aca="false">IF(OR($B39="",$C39=""),"",$C39*E39-IF(F39="",0,F39))</f>
        <v>826.98</v>
      </c>
      <c r="H39" s="8" t="str">
        <f aca="false">IF($B39="","",INDEX(Simulador!$B$7:$B$232,MATCH($B39,Simulador!$A$7:$A$232,0)))</f>
        <v>Medios</v>
      </c>
      <c r="I39" s="13" t="n">
        <f aca="false">IF(OR(H39="",$D39=""),"",INDEX(Ref_Frete!$B$2:$G$54,MATCH($D39,Ref_Frete!$A$2:$A$54,0),IF(H39="Pequenos",2,IF(H39="Medios",4,6))))</f>
        <v>340</v>
      </c>
      <c r="J39" s="20" t="n">
        <v>131.91</v>
      </c>
      <c r="K39" s="20" t="n">
        <f aca="false">IF(G39="","",ROUND($D$3*(G39+IF(I39="",0,I39)),2))</f>
        <v>157.54</v>
      </c>
      <c r="L39" s="13" t="n">
        <f aca="false">IF(OR($B39="",$C39=""),"",$C39*INDEX(Simulador!$F$7:$F$232,MATCH($B39,Simulador!$A$7:$A$232,0)))</f>
        <v>422.91</v>
      </c>
      <c r="M39" s="13" t="n">
        <f aca="false">IF(G39="","",G39*$B$3)</f>
        <v>82.698</v>
      </c>
      <c r="N39" s="35" t="n">
        <f aca="false">IF(OR(G39="",J39=""),"",G39+IF(I39="",0,I39)-J39-K39-L39-M39)</f>
        <v>371.922</v>
      </c>
      <c r="O39" s="12" t="n">
        <f aca="false">IF(OR(N39="",G39=0,G39=""),"",N39/G39)</f>
        <v>0.449735181020097</v>
      </c>
      <c r="P39" s="22" t="str">
        <f aca="false">IF(O39="","",IF(O39&lt;0,"PREJUÍZO",IF(O39&lt;0.1,"CRÍTICO (&lt;10%)",IF(O39&lt;0.15,"ABAIXO DA META (10-15%)",IF(O39&lt;=0.2,"DENTRO DA META (15-20%)","ACIMA DA META (&gt;20%)")))))</f>
        <v>ACIMA DA META (&gt;20%)</v>
      </c>
      <c r="Q39" s="19"/>
      <c r="R39" s="19"/>
    </row>
    <row r="40" customFormat="false" ht="15" hidden="false" customHeight="true" outlineLevel="0" collapsed="false">
      <c r="A40" s="32" t="n">
        <v>46245</v>
      </c>
      <c r="B40" s="19" t="s">
        <v>61</v>
      </c>
      <c r="C40" s="19" t="n">
        <v>1</v>
      </c>
      <c r="D40" s="19" t="s">
        <v>215</v>
      </c>
      <c r="E40" s="20" t="n">
        <f aca="false">IF($B40="","",INDEX(Simulador!$D$7:$D$232,MATCH($B40,Simulador!$A$7:$A$232,0)))</f>
        <v>1070.17</v>
      </c>
      <c r="F40" s="20"/>
      <c r="G40" s="13" t="n">
        <f aca="false">IF(OR($B40="",$C40=""),"",$C40*E40-IF(F40="",0,F40))</f>
        <v>1070.17</v>
      </c>
      <c r="H40" s="8" t="str">
        <f aca="false">IF($B40="","",INDEX(Simulador!$B$7:$B$232,MATCH($B40,Simulador!$A$7:$A$232,0)))</f>
        <v>Grandes</v>
      </c>
      <c r="I40" s="13" t="n">
        <f aca="false">IF(OR(H40="",$D40=""),"",INDEX(Ref_Frete!$B$2:$G$54,MATCH($D40,Ref_Frete!$A$2:$A$54,0),IF(H40="Pequenos",2,IF(H40="Medios",4,6))))</f>
        <v>178</v>
      </c>
      <c r="J40" s="20" t="n">
        <v>119.13</v>
      </c>
      <c r="K40" s="20" t="n">
        <f aca="false">IF(G40="","",ROUND($D$3*(G40+IF(I40="",0,I40)),2))</f>
        <v>168.5</v>
      </c>
      <c r="L40" s="13" t="n">
        <f aca="false">IF(OR($B40="",$C40=""),"",$C40*INDEX(Simulador!$F$7:$F$232,MATCH($B40,Simulador!$A$7:$A$232,0)))</f>
        <v>553.79</v>
      </c>
      <c r="M40" s="13" t="n">
        <f aca="false">IF(G40="","",G40*$B$3)</f>
        <v>107.017</v>
      </c>
      <c r="N40" s="35" t="n">
        <f aca="false">IF(OR(G40="",J40=""),"",G40+IF(I40="",0,I40)-J40-K40-L40-M40)</f>
        <v>299.733</v>
      </c>
      <c r="O40" s="12" t="n">
        <f aca="false">IF(OR(N40="",G40=0,G40=""),"",N40/G40)</f>
        <v>0.280079800405543</v>
      </c>
      <c r="P40" s="22" t="str">
        <f aca="false">IF(O40="","",IF(O40&lt;0,"PREJUÍZO",IF(O40&lt;0.1,"CRÍTICO (&lt;10%)",IF(O40&lt;0.15,"ABAIXO DA META (10-15%)",IF(O40&lt;=0.2,"DENTRO DA META (15-20%)","ACIMA DA META (&gt;20%)")))))</f>
        <v>ACIMA DA META (&gt;20%)</v>
      </c>
      <c r="Q40" s="19"/>
      <c r="R40" s="19"/>
    </row>
    <row r="41" customFormat="false" ht="15" hidden="false" customHeight="true" outlineLevel="0" collapsed="false">
      <c r="A41" s="32" t="n">
        <v>46246</v>
      </c>
      <c r="B41" s="19" t="s">
        <v>125</v>
      </c>
      <c r="C41" s="19" t="n">
        <v>2</v>
      </c>
      <c r="D41" s="19" t="s">
        <v>246</v>
      </c>
      <c r="E41" s="20" t="n">
        <f aca="false">IF($B41="","",INDEX(Simulador!$D$7:$D$232,MATCH($B41,Simulador!$A$7:$A$232,0)))</f>
        <v>203.54</v>
      </c>
      <c r="F41" s="20"/>
      <c r="G41" s="13" t="n">
        <f aca="false">IF(OR($B41="",$C41=""),"",$C41*E41-IF(F41="",0,F41))</f>
        <v>407.08</v>
      </c>
      <c r="H41" s="8" t="str">
        <f aca="false">IF($B41="","",INDEX(Simulador!$B$7:$B$232,MATCH($B41,Simulador!$A$7:$A$232,0)))</f>
        <v>Pequenos</v>
      </c>
      <c r="I41" s="13" t="n">
        <f aca="false">IF(OR(H41="",$D41=""),"",INDEX(Ref_Frete!$B$2:$G$54,MATCH($D41,Ref_Frete!$A$2:$A$54,0),IF(H41="Pequenos",2,IF(H41="Medios",4,6))))</f>
        <v>70</v>
      </c>
      <c r="J41" s="20" t="n">
        <v>57.33</v>
      </c>
      <c r="K41" s="20" t="n">
        <v>59.64</v>
      </c>
      <c r="L41" s="13" t="n">
        <f aca="false">IF(OR($B41="",$C41=""),"",$C41*INDEX(Simulador!$F$7:$F$232,MATCH($B41,Simulador!$A$7:$A$232,0)))</f>
        <v>205.6</v>
      </c>
      <c r="M41" s="13" t="n">
        <f aca="false">IF(G41="","",G41*$B$3)</f>
        <v>40.708</v>
      </c>
      <c r="N41" s="35" t="n">
        <f aca="false">IF(OR(G41="",J41=""),"",G41+IF(I41="",0,I41)-J41-K41-L41-M41)</f>
        <v>113.802</v>
      </c>
      <c r="O41" s="12" t="n">
        <f aca="false">IF(OR(N41="",G41=0,G41=""),"",N41/G41)</f>
        <v>0.279556843863614</v>
      </c>
      <c r="P41" s="22" t="str">
        <f aca="false">IF(O41="","",IF(O41&lt;0,"PREJUÍZO",IF(O41&lt;0.1,"CRÍTICO (&lt;10%)",IF(O41&lt;0.15,"ABAIXO DA META (10-15%)",IF(O41&lt;=0.2,"DENTRO DA META (15-20%)","ACIMA DA META (&gt;20%)")))))</f>
        <v>ACIMA DA META (&gt;20%)</v>
      </c>
      <c r="Q41" s="19"/>
      <c r="R41" s="19"/>
    </row>
    <row r="42" customFormat="false" ht="15" hidden="false" customHeight="true" outlineLevel="0" collapsed="false">
      <c r="A42" s="32" t="n">
        <v>46246</v>
      </c>
      <c r="B42" s="19" t="s">
        <v>106</v>
      </c>
      <c r="C42" s="19" t="n">
        <v>1</v>
      </c>
      <c r="D42" s="19" t="s">
        <v>211</v>
      </c>
      <c r="E42" s="20" t="n">
        <f aca="false">IF($B42="","",INDEX(Simulador!$D$7:$D$232,MATCH($B42,Simulador!$A$7:$A$232,0)))</f>
        <v>132.9</v>
      </c>
      <c r="F42" s="20"/>
      <c r="G42" s="13" t="n">
        <f aca="false">IF(OR($B42="",$C42=""),"",$C42*E42-IF(F42="",0,F42))</f>
        <v>132.9</v>
      </c>
      <c r="H42" s="8" t="str">
        <f aca="false">IF($B42="","",INDEX(Simulador!$B$7:$B$232,MATCH($B42,Simulador!$A$7:$A$232,0)))</f>
        <v>Pequenos</v>
      </c>
      <c r="I42" s="13" t="n">
        <f aca="false">IF(OR(H42="",$D42=""),"",INDEX(Ref_Frete!$B$2:$G$54,MATCH($D42,Ref_Frete!$A$2:$A$54,0),IF(H42="Pequenos",2,IF(H42="Medios",4,6))))</f>
        <v>12.9</v>
      </c>
      <c r="J42" s="20" t="n">
        <v>14.23</v>
      </c>
      <c r="K42" s="20" t="n">
        <f aca="false">IF(G42="","",ROUND($D$3*(G42+IF(I42="",0,I42)),2))</f>
        <v>19.68</v>
      </c>
      <c r="L42" s="13" t="n">
        <f aca="false">IF(OR($B42="",$C42=""),"",$C42*INDEX(Simulador!$F$7:$F$232,MATCH($B42,Simulador!$A$7:$A$232,0)))</f>
        <v>63.11</v>
      </c>
      <c r="M42" s="13" t="n">
        <f aca="false">IF(G42="","",G42*$B$3)</f>
        <v>13.29</v>
      </c>
      <c r="N42" s="35" t="n">
        <f aca="false">IF(OR(G42="",J42=""),"",G42+IF(I42="",0,I42)-J42-K42-L42-M42)</f>
        <v>35.49</v>
      </c>
      <c r="O42" s="12" t="n">
        <f aca="false">IF(OR(N42="",G42=0,G42=""),"",N42/G42)</f>
        <v>0.267042889390519</v>
      </c>
      <c r="P42" s="22" t="str">
        <f aca="false">IF(O42="","",IF(O42&lt;0,"PREJUÍZO",IF(O42&lt;0.1,"CRÍTICO (&lt;10%)",IF(O42&lt;0.15,"ABAIXO DA META (10-15%)",IF(O42&lt;=0.2,"DENTRO DA META (15-20%)","ACIMA DA META (&gt;20%)")))))</f>
        <v>ACIMA DA META (&gt;20%)</v>
      </c>
      <c r="Q42" s="19"/>
      <c r="R42" s="19"/>
    </row>
    <row r="43" customFormat="false" ht="15" hidden="false" customHeight="true" outlineLevel="0" collapsed="false">
      <c r="A43" s="32" t="n">
        <v>46248</v>
      </c>
      <c r="B43" s="19" t="s">
        <v>149</v>
      </c>
      <c r="C43" s="19" t="n">
        <v>1</v>
      </c>
      <c r="D43" s="19" t="s">
        <v>241</v>
      </c>
      <c r="E43" s="20" t="n">
        <f aca="false">IF($B43="","",INDEX(Simulador!$D$7:$D$232,MATCH($B43,Simulador!$A$7:$A$232,0)))</f>
        <v>642.24</v>
      </c>
      <c r="F43" s="20"/>
      <c r="G43" s="13" t="n">
        <f aca="false">IF(OR($B43="",$C43=""),"",$C43*E43-IF(F43="",0,F43))</f>
        <v>642.24</v>
      </c>
      <c r="H43" s="8" t="str">
        <f aca="false">IF($B43="","",INDEX(Simulador!$B$7:$B$232,MATCH($B43,Simulador!$A$7:$A$232,0)))</f>
        <v>Medios</v>
      </c>
      <c r="I43" s="13" t="n">
        <f aca="false">IF(OR(H43="",$D43=""),"",INDEX(Ref_Frete!$B$2:$G$54,MATCH($D43,Ref_Frete!$A$2:$A$54,0),IF(H43="Pequenos",2,IF(H43="Medios",4,6))))</f>
        <v>69.9</v>
      </c>
      <c r="J43" s="20" t="n">
        <v>84.49</v>
      </c>
      <c r="K43" s="20" t="n">
        <f aca="false">IF(G43="","",ROUND($D$3*(G43+IF(I43="",0,I43)),2))</f>
        <v>96.14</v>
      </c>
      <c r="L43" s="13" t="n">
        <f aca="false">IF(OR($B43="",$C43=""),"",$C43*INDEX(Simulador!$F$7:$F$232,MATCH($B43,Simulador!$A$7:$A$232,0)))</f>
        <v>341.01</v>
      </c>
      <c r="M43" s="13" t="n">
        <f aca="false">IF(G43="","",G43*$B$3)</f>
        <v>64.224</v>
      </c>
      <c r="N43" s="35" t="n">
        <f aca="false">IF(OR(G43="",J43=""),"",G43+IF(I43="",0,I43)-J43-K43-L43-M43)</f>
        <v>126.276</v>
      </c>
      <c r="O43" s="12" t="n">
        <f aca="false">IF(OR(N43="",G43=0,G43=""),"",N43/G43)</f>
        <v>0.196618086696562</v>
      </c>
      <c r="P43" s="22" t="str">
        <f aca="false">IF(O43="","",IF(O43&lt;0,"PREJUÍZO",IF(O43&lt;0.1,"CRÍTICO (&lt;10%)",IF(O43&lt;0.15,"ABAIXO DA META (10-15%)",IF(O43&lt;=0.2,"DENTRO DA META (15-20%)","ACIMA DA META (&gt;20%)")))))</f>
        <v>DENTRO DA META (15-20%)</v>
      </c>
      <c r="Q43" s="19"/>
      <c r="R43" s="19"/>
    </row>
    <row r="44" customFormat="false" ht="15" hidden="false" customHeight="true" outlineLevel="0" collapsed="false">
      <c r="A44" s="32" t="n">
        <v>46250</v>
      </c>
      <c r="B44" s="19" t="s">
        <v>46</v>
      </c>
      <c r="C44" s="19" t="n">
        <v>1</v>
      </c>
      <c r="D44" s="19" t="s">
        <v>239</v>
      </c>
      <c r="E44" s="20" t="n">
        <f aca="false">IF($B44="","",INDEX(Simulador!$D$7:$D$232,MATCH($B44,Simulador!$A$7:$A$232,0)))</f>
        <v>119.22</v>
      </c>
      <c r="F44" s="20"/>
      <c r="G44" s="13" t="n">
        <f aca="false">IF(OR($B44="",$C44=""),"",$C44*E44-IF(F44="",0,F44))</f>
        <v>119.22</v>
      </c>
      <c r="H44" s="8" t="str">
        <f aca="false">IF($B44="","",INDEX(Simulador!$B$7:$B$232,MATCH($B44,Simulador!$A$7:$A$232,0)))</f>
        <v>Pequenos</v>
      </c>
      <c r="I44" s="13" t="n">
        <f aca="false">IF(OR(H44="",$D44=""),"",INDEX(Ref_Frete!$B$2:$G$54,MATCH($D44,Ref_Frete!$A$2:$A$54,0),IF(H44="Pequenos",2,IF(H44="Medios",4,6))))</f>
        <v>70</v>
      </c>
      <c r="J44" s="20" t="n">
        <v>19.95</v>
      </c>
      <c r="K44" s="20" t="n">
        <f aca="false">IF(G44="","",ROUND($D$3*(G44+IF(I44="",0,I44)),2))</f>
        <v>25.54</v>
      </c>
      <c r="L44" s="13" t="n">
        <f aca="false">IF(OR($B44="",$C44=""),"",$C44*INDEX(Simulador!$F$7:$F$232,MATCH($B44,Simulador!$A$7:$A$232,0)))</f>
        <v>55.49</v>
      </c>
      <c r="M44" s="13" t="n">
        <f aca="false">IF(G44="","",G44*$B$3)</f>
        <v>11.922</v>
      </c>
      <c r="N44" s="35" t="n">
        <f aca="false">IF(OR(G44="",J44=""),"",G44+IF(I44="",0,I44)-J44-K44-L44-M44)</f>
        <v>76.318</v>
      </c>
      <c r="O44" s="12" t="n">
        <f aca="false">IF(OR(N44="",G44=0,G44=""),"",N44/G44)</f>
        <v>0.640144271095454</v>
      </c>
      <c r="P44" s="22" t="str">
        <f aca="false">IF(O44="","",IF(O44&lt;0,"PREJUÍZO",IF(O44&lt;0.1,"CRÍTICO (&lt;10%)",IF(O44&lt;0.15,"ABAIXO DA META (10-15%)",IF(O44&lt;=0.2,"DENTRO DA META (15-20%)","ACIMA DA META (&gt;20%)")))))</f>
        <v>ACIMA DA META (&gt;20%)</v>
      </c>
      <c r="Q44" s="19"/>
      <c r="R44" s="19"/>
    </row>
    <row r="45" customFormat="false" ht="15" hidden="false" customHeight="true" outlineLevel="0" collapsed="false">
      <c r="A45" s="32" t="n">
        <v>46253</v>
      </c>
      <c r="B45" s="19" t="s">
        <v>134</v>
      </c>
      <c r="C45" s="19" t="n">
        <v>1</v>
      </c>
      <c r="D45" s="19" t="s">
        <v>231</v>
      </c>
      <c r="E45" s="20" t="n">
        <f aca="false">IF($B45="","",INDEX(Simulador!$D$7:$D$232,MATCH($B45,Simulador!$A$7:$A$232,0)))</f>
        <v>335.68</v>
      </c>
      <c r="F45" s="20"/>
      <c r="G45" s="13" t="n">
        <f aca="false">IF(OR($B45="",$C45=""),"",$C45*E45-IF(F45="",0,F45))</f>
        <v>335.68</v>
      </c>
      <c r="H45" s="8" t="str">
        <f aca="false">IF($B45="","",INDEX(Simulador!$B$7:$B$232,MATCH($B45,Simulador!$A$7:$A$232,0)))</f>
        <v>Medios</v>
      </c>
      <c r="I45" s="13" t="n">
        <f aca="false">IF(OR(H45="",$D45=""),"",INDEX(Ref_Frete!$B$2:$G$54,MATCH($D45,Ref_Frete!$A$2:$A$54,0),IF(H45="Pequenos",2,IF(H45="Medios",4,6))))</f>
        <v>158</v>
      </c>
      <c r="J45" s="20" t="n">
        <v>61.25</v>
      </c>
      <c r="K45" s="20" t="n">
        <f aca="false">IF(G45="","",ROUND($D$3*(G45+IF(I45="",0,I45)),2))</f>
        <v>66.65</v>
      </c>
      <c r="L45" s="13" t="n">
        <f aca="false">IF(OR($B45="",$C45=""),"",$C45*INDEX(Simulador!$F$7:$F$232,MATCH($B45,Simulador!$A$7:$A$232,0)))</f>
        <v>172.67</v>
      </c>
      <c r="M45" s="13" t="n">
        <f aca="false">IF(G45="","",G45*$B$3)</f>
        <v>33.568</v>
      </c>
      <c r="N45" s="35" t="n">
        <f aca="false">IF(OR(G45="",J45=""),"",G45+IF(I45="",0,I45)-J45-K45-L45-M45)</f>
        <v>159.542</v>
      </c>
      <c r="O45" s="12" t="n">
        <f aca="false">IF(OR(N45="",G45=0,G45=""),"",N45/G45)</f>
        <v>0.475280028598665</v>
      </c>
      <c r="P45" s="22" t="str">
        <f aca="false">IF(O45="","",IF(O45&lt;0,"PREJUÍZO",IF(O45&lt;0.1,"CRÍTICO (&lt;10%)",IF(O45&lt;0.15,"ABAIXO DA META (10-15%)",IF(O45&lt;=0.2,"DENTRO DA META (15-20%)","ACIMA DA META (&gt;20%)")))))</f>
        <v>ACIMA DA META (&gt;20%)</v>
      </c>
      <c r="Q45" s="19"/>
      <c r="R45" s="19"/>
    </row>
    <row r="46" customFormat="false" ht="15" hidden="false" customHeight="true" outlineLevel="0" collapsed="false">
      <c r="A46" s="32" t="n">
        <v>46254</v>
      </c>
      <c r="B46" s="19" t="s">
        <v>53</v>
      </c>
      <c r="C46" s="19" t="n">
        <v>3</v>
      </c>
      <c r="D46" s="19" t="s">
        <v>211</v>
      </c>
      <c r="E46" s="20" t="n">
        <f aca="false">IF($B46="","",INDEX(Simulador!$D$7:$D$232,MATCH($B46,Simulador!$A$7:$A$232,0)))</f>
        <v>580.52</v>
      </c>
      <c r="F46" s="20" t="n">
        <v>87.08</v>
      </c>
      <c r="G46" s="13" t="n">
        <f aca="false">IF(OR($B46="",$C46=""),"",$C46*E46-IF(F46="",0,F46))</f>
        <v>1654.48</v>
      </c>
      <c r="H46" s="8" t="str">
        <f aca="false">IF($B46="","",INDEX(Simulador!$B$7:$B$232,MATCH($B46,Simulador!$A$7:$A$232,0)))</f>
        <v>Medios</v>
      </c>
      <c r="I46" s="13" t="n">
        <f aca="false">IF(OR(H46="",$D46=""),"",INDEX(Ref_Frete!$B$2:$G$54,MATCH($D46,Ref_Frete!$A$2:$A$54,0),IF(H46="Pequenos",2,IF(H46="Medios",4,6))))</f>
        <v>34.9</v>
      </c>
      <c r="J46" s="20" t="n">
        <v>0</v>
      </c>
      <c r="K46" s="20" t="n">
        <f aca="false">IF(G46="","",ROUND($D$3*(G46+IF(I46="",0,I46)),2))</f>
        <v>228.07</v>
      </c>
      <c r="L46" s="13" t="n">
        <f aca="false">IF(OR($B46="",$C46=""),"",$C46*INDEX(Simulador!$F$7:$F$232,MATCH($B46,Simulador!$A$7:$A$232,0)))</f>
        <v>833.25</v>
      </c>
      <c r="M46" s="13" t="n">
        <f aca="false">IF(G46="","",G46*$B$3)</f>
        <v>165.448</v>
      </c>
      <c r="N46" s="35" t="n">
        <f aca="false">IF(OR(G46="",J46=""),"",G46+IF(I46="",0,I46)-J46-K46-L46-M46)</f>
        <v>462.612</v>
      </c>
      <c r="O46" s="12" t="n">
        <f aca="false">IF(OR(N46="",G46=0,G46=""),"",N46/G46)</f>
        <v>0.279611720903245</v>
      </c>
      <c r="P46" s="22" t="str">
        <f aca="false">IF(O46="","",IF(O46&lt;0,"PREJUÍZO",IF(O46&lt;0.1,"CRÍTICO (&lt;10%)",IF(O46&lt;0.15,"ABAIXO DA META (10-15%)",IF(O46&lt;=0.2,"DENTRO DA META (15-20%)","ACIMA DA META (&gt;20%)")))))</f>
        <v>ACIMA DA META (&gt;20%)</v>
      </c>
      <c r="Q46" s="19"/>
      <c r="R46" s="19"/>
    </row>
    <row r="47" customFormat="false" ht="15" hidden="false" customHeight="true" outlineLevel="0" collapsed="false">
      <c r="A47" s="32" t="n">
        <v>46260</v>
      </c>
      <c r="B47" s="19" t="s">
        <v>125</v>
      </c>
      <c r="C47" s="19" t="n">
        <v>1</v>
      </c>
      <c r="D47" s="19" t="s">
        <v>247</v>
      </c>
      <c r="E47" s="20" t="n">
        <f aca="false">IF($B47="","",INDEX(Simulador!$D$7:$D$232,MATCH($B47,Simulador!$A$7:$A$232,0)))</f>
        <v>203.54</v>
      </c>
      <c r="F47" s="20"/>
      <c r="G47" s="13" t="n">
        <f aca="false">IF(OR($B47="",$C47=""),"",$C47*E47-IF(F47="",0,F47))</f>
        <v>203.54</v>
      </c>
      <c r="H47" s="8" t="str">
        <f aca="false">IF($B47="","",INDEX(Simulador!$B$7:$B$232,MATCH($B47,Simulador!$A$7:$A$232,0)))</f>
        <v>Pequenos</v>
      </c>
      <c r="I47" s="13" t="n">
        <f aca="false">IF(OR(H47="",$D47=""),"",INDEX(Ref_Frete!$B$2:$G$54,MATCH($D47,Ref_Frete!$A$2:$A$54,0),IF(H47="Pequenos",2,IF(H47="Medios",4,6))))</f>
        <v>24.9</v>
      </c>
      <c r="J47" s="20" t="n">
        <v>18.08</v>
      </c>
      <c r="K47" s="20" t="n">
        <f aca="false">IF(G47="","",ROUND($D$3*(G47+IF(I47="",0,I47)),2))</f>
        <v>30.84</v>
      </c>
      <c r="L47" s="13" t="n">
        <f aca="false">IF(OR($B47="",$C47=""),"",$C47*INDEX(Simulador!$F$7:$F$232,MATCH($B47,Simulador!$A$7:$A$232,0)))</f>
        <v>102.8</v>
      </c>
      <c r="M47" s="13" t="n">
        <f aca="false">IF(G47="","",G47*$B$3)</f>
        <v>20.354</v>
      </c>
      <c r="N47" s="35" t="n">
        <f aca="false">IF(OR(G47="",J47=""),"",G47+IF(I47="",0,I47)-J47-K47-L47-M47)</f>
        <v>56.366</v>
      </c>
      <c r="O47" s="12" t="n">
        <f aca="false">IF(OR(N47="",G47=0,G47=""),"",N47/G47)</f>
        <v>0.276928367888376</v>
      </c>
      <c r="P47" s="22" t="str">
        <f aca="false">IF(O47="","",IF(O47&lt;0,"PREJUÍZO",IF(O47&lt;0.1,"CRÍTICO (&lt;10%)",IF(O47&lt;0.15,"ABAIXO DA META (10-15%)",IF(O47&lt;=0.2,"DENTRO DA META (15-20%)","ACIMA DA META (&gt;20%)")))))</f>
        <v>ACIMA DA META (&gt;20%)</v>
      </c>
      <c r="Q47" s="19"/>
      <c r="R47" s="19"/>
    </row>
    <row r="48" customFormat="false" ht="15" hidden="false" customHeight="true" outlineLevel="0" collapsed="false">
      <c r="A48" s="32" t="n">
        <v>46263</v>
      </c>
      <c r="B48" s="19" t="s">
        <v>126</v>
      </c>
      <c r="C48" s="19" t="n">
        <v>1</v>
      </c>
      <c r="D48" s="19" t="s">
        <v>247</v>
      </c>
      <c r="E48" s="20" t="n">
        <f aca="false">IF($B48="","",INDEX(Simulador!$D$7:$D$232,MATCH($B48,Simulador!$A$7:$A$232,0)))</f>
        <v>167.89</v>
      </c>
      <c r="F48" s="20"/>
      <c r="G48" s="13" t="n">
        <f aca="false">IF(OR($B48="",$C48=""),"",$C48*E48-IF(F48="",0,F48))</f>
        <v>167.89</v>
      </c>
      <c r="H48" s="8" t="str">
        <f aca="false">IF($B48="","",INDEX(Simulador!$B$7:$B$232,MATCH($B48,Simulador!$A$7:$A$232,0)))</f>
        <v>Pequenos</v>
      </c>
      <c r="I48" s="38" t="n">
        <f aca="false">IF(OR(H48="",$D48=""),"",INDEX(Ref_Frete!$B$2:$G$54,MATCH($D48,Ref_Frete!$A$2:$A$54,0),IF(H48="Pequenos",2,IF(H48="Medios",4,6))))</f>
        <v>24.9</v>
      </c>
      <c r="J48" s="20" t="n">
        <v>14.69</v>
      </c>
      <c r="K48" s="20" t="n">
        <f aca="false">IF(G48="","",ROUND($D$3*(G48+IF(I48="",0,I48)),2))</f>
        <v>26.03</v>
      </c>
      <c r="L48" s="13" t="n">
        <f aca="false">IF(OR($B48="",$C48=""),"",$C48*INDEX(Simulador!$F$7:$F$232,MATCH($B48,Simulador!$A$7:$A$232,0)))</f>
        <v>84.79</v>
      </c>
      <c r="M48" s="13" t="n">
        <f aca="false">IF(G48="","",G48*$B$3)</f>
        <v>16.789</v>
      </c>
      <c r="N48" s="35" t="n">
        <f aca="false">IF(OR(G48="",J48=""),"",G48+IF(I48="",0,I48)-J48-K48-L48-M48)</f>
        <v>50.491</v>
      </c>
      <c r="O48" s="12" t="n">
        <f aca="false">IF(OR(N48="",G48=0,G48=""),"",N48/G48)</f>
        <v>0.300738578831378</v>
      </c>
      <c r="P48" s="22" t="str">
        <f aca="false">IF(O48="","",IF(O48&lt;0,"PREJUÍZO",IF(O48&lt;0.1,"CRÍTICO (&lt;10%)",IF(O48&lt;0.15,"ABAIXO DA META (10-15%)",IF(O48&lt;=0.2,"DENTRO DA META (15-20%)","ACIMA DA META (&gt;20%)")))))</f>
        <v>ACIMA DA META (&gt;20%)</v>
      </c>
      <c r="Q48" s="19"/>
      <c r="R48" s="19"/>
    </row>
    <row r="49" customFormat="false" ht="15" hidden="false" customHeight="true" outlineLevel="0" collapsed="false">
      <c r="A49" s="32" t="n">
        <v>46264</v>
      </c>
      <c r="B49" s="19" t="s">
        <v>106</v>
      </c>
      <c r="C49" s="19" t="n">
        <v>1</v>
      </c>
      <c r="D49" s="19" t="s">
        <v>213</v>
      </c>
      <c r="E49" s="20" t="n">
        <f aca="false">IF($B49="","",INDEX(Simulador!$D$7:$D$232,MATCH($B49,Simulador!$A$7:$A$232,0)))</f>
        <v>132.9</v>
      </c>
      <c r="F49" s="20"/>
      <c r="G49" s="13" t="n">
        <f aca="false">IF(OR($B49="",$C49=""),"",$C49*E49-IF(F49="",0,F49))</f>
        <v>132.9</v>
      </c>
      <c r="H49" s="8" t="str">
        <f aca="false">IF($B49="","",INDEX(Simulador!$B$7:$B$232,MATCH($B49,Simulador!$A$7:$A$232,0)))</f>
        <v>Pequenos</v>
      </c>
      <c r="I49" s="13" t="n">
        <f aca="false">IF(OR(H49="",$D49=""),"",INDEX(Ref_Frete!$B$2:$G$54,MATCH($D49,Ref_Frete!$A$2:$A$54,0),IF(H49="Pequenos",2,IF(H49="Medios",4,6))))</f>
        <v>24.9</v>
      </c>
      <c r="J49" s="20" t="n">
        <v>15.65</v>
      </c>
      <c r="K49" s="36" t="n">
        <f aca="false">IF(G49="","",ROUND($D$3*(G49+IF(I49="",0,I49)),2))</f>
        <v>21.3</v>
      </c>
      <c r="L49" s="13" t="n">
        <f aca="false">IF(OR($B49="",$C49=""),"",$C49*INDEX(Simulador!$F$7:$F$232,MATCH($B49,Simulador!$A$7:$A$232,0)))</f>
        <v>63.11</v>
      </c>
      <c r="M49" s="13" t="n">
        <f aca="false">IF(G49="","",G49*$B$3)</f>
        <v>13.29</v>
      </c>
      <c r="N49" s="35" t="n">
        <f aca="false">IF(OR(G49="",J49=""),"",G49+IF(I49="",0,I49)-J49-K49-L49-M49)</f>
        <v>44.45</v>
      </c>
      <c r="O49" s="12" t="n">
        <f aca="false">IF(OR(N49="",G49=0,G49=""),"",N49/G49)</f>
        <v>0.334462001504891</v>
      </c>
      <c r="P49" s="22" t="str">
        <f aca="false">IF(O49="","",IF(O49&lt;0,"PREJUÍZO",IF(O49&lt;0.1,"CRÍTICO (&lt;10%)",IF(O49&lt;0.15,"ABAIXO DA META (10-15%)",IF(O49&lt;=0.2,"DENTRO DA META (15-20%)","ACIMA DA META (&gt;20%)")))))</f>
        <v>ACIMA DA META (&gt;20%)</v>
      </c>
      <c r="Q49" s="19"/>
      <c r="R49" s="19"/>
    </row>
    <row r="50" customFormat="false" ht="15" hidden="false" customHeight="true" outlineLevel="0" collapsed="false">
      <c r="A50" s="32" t="n">
        <v>46265</v>
      </c>
      <c r="B50" s="19" t="s">
        <v>106</v>
      </c>
      <c r="C50" s="19" t="n">
        <v>2</v>
      </c>
      <c r="D50" s="19" t="s">
        <v>248</v>
      </c>
      <c r="E50" s="20" t="n">
        <f aca="false">IF($B50="","",INDEX(Simulador!$D$7:$D$232,MATCH($B50,Simulador!$A$7:$A$232,0)))</f>
        <v>132.9</v>
      </c>
      <c r="F50" s="20"/>
      <c r="G50" s="38" t="n">
        <f aca="false">IF(OR($B50="",$C50=""),"",$C50*E50-IF(F50="",0,F50))</f>
        <v>265.8</v>
      </c>
      <c r="H50" s="8" t="str">
        <f aca="false">IF($B50="","",INDEX(Simulador!$B$7:$B$232,MATCH($B50,Simulador!$A$7:$A$232,0)))</f>
        <v>Pequenos</v>
      </c>
      <c r="I50" s="13" t="n">
        <f aca="false">IF(OR(H50="",$D50=""),"",INDEX(Ref_Frete!$B$2:$G$54,MATCH($D50,Ref_Frete!$A$2:$A$54,0),IF(H50="Pequenos",2,IF(H50="Medios",4,6))))</f>
        <v>43</v>
      </c>
      <c r="J50" s="20" t="n">
        <v>20.98</v>
      </c>
      <c r="K50" s="20" t="n">
        <f aca="false">IF(G50="","",ROUND($D$3*(G50+IF(I50="",0,I50)),2))</f>
        <v>41.69</v>
      </c>
      <c r="L50" s="13" t="n">
        <f aca="false">IF(OR($B50="",$C50=""),"",$C50*INDEX(Simulador!$F$7:$F$232,MATCH($B50,Simulador!$A$7:$A$232,0)))</f>
        <v>126.22</v>
      </c>
      <c r="M50" s="13" t="n">
        <f aca="false">IF(G50="","",G50*$B$3)</f>
        <v>26.58</v>
      </c>
      <c r="N50" s="35" t="n">
        <f aca="false">IF(OR(G50="",J50=""),"",G50+IF(I50="",0,I50)-J50-K50-L50-M50)</f>
        <v>93.33</v>
      </c>
      <c r="O50" s="12" t="n">
        <f aca="false">IF(OR(N50="",G50=0,G50=""),"",N50/G50)</f>
        <v>0.351128668171558</v>
      </c>
      <c r="P50" s="22" t="str">
        <f aca="false">IF(O50="","",IF(O50&lt;0,"PREJUÍZO",IF(O50&lt;0.1,"CRÍTICO (&lt;10%)",IF(O50&lt;0.15,"ABAIXO DA META (10-15%)",IF(O50&lt;=0.2,"DENTRO DA META (15-20%)","ACIMA DA META (&gt;20%)")))))</f>
        <v>ACIMA DA META (&gt;20%)</v>
      </c>
      <c r="Q50" s="19"/>
      <c r="R50" s="19"/>
    </row>
    <row r="51" customFormat="false" ht="15" hidden="false" customHeight="true" outlineLevel="0" collapsed="false">
      <c r="A51" s="32" t="n">
        <v>46265</v>
      </c>
      <c r="B51" s="19" t="s">
        <v>38</v>
      </c>
      <c r="C51" s="19" t="n">
        <v>3</v>
      </c>
      <c r="D51" s="19" t="s">
        <v>239</v>
      </c>
      <c r="E51" s="20" t="n">
        <f aca="false">IF($B51="","",INDEX(Simulador!$D$7:$D$232,MATCH($B51,Simulador!$A$7:$A$232,0)))</f>
        <v>259.9</v>
      </c>
      <c r="F51" s="20"/>
      <c r="G51" s="13" t="n">
        <f aca="false">IF(OR($B51="",$C51=""),"",$C51*E51-IF(F51="",0,F51))</f>
        <v>779.7</v>
      </c>
      <c r="H51" s="8" t="str">
        <f aca="false">IF($B51="","",INDEX(Simulador!$B$7:$B$232,MATCH($B51,Simulador!$A$7:$A$232,0)))</f>
        <v>Pequenos</v>
      </c>
      <c r="I51" s="13" t="n">
        <f aca="false">IF(OR(H51="",$D51=""),"",INDEX(Ref_Frete!$B$2:$G$54,MATCH($D51,Ref_Frete!$A$2:$A$54,0),IF(H51="Pequenos",2,IF(H51="Medios",4,6))))</f>
        <v>70</v>
      </c>
      <c r="J51" s="20" t="n">
        <v>102.9</v>
      </c>
      <c r="K51" s="20" t="n">
        <f aca="false">IF(G51="","",ROUND($D$3*(G51+IF(I51="",0,I51)),2))</f>
        <v>114.71</v>
      </c>
      <c r="L51" s="13" t="n">
        <f aca="false">IF(OR($B51="",$C51=""),"",$C51*INDEX(Simulador!$F$7:$F$232,MATCH($B51,Simulador!$A$7:$A$232,0)))</f>
        <v>418.47</v>
      </c>
      <c r="M51" s="13" t="n">
        <f aca="false">IF(G51="","",G51*$B$3)</f>
        <v>77.97</v>
      </c>
      <c r="N51" s="35" t="n">
        <f aca="false">IF(OR(G51="",J51=""),"",G51+IF(I51="",0,I51)-J51-K51-L51-M51)</f>
        <v>135.65</v>
      </c>
      <c r="O51" s="12" t="n">
        <f aca="false">IF(OR(N51="",G51=0,G51=""),"",N51/G51)</f>
        <v>0.173977170706682</v>
      </c>
      <c r="P51" s="22" t="str">
        <f aca="false">IF(O51="","",IF(O51&lt;0,"PREJUÍZO",IF(O51&lt;0.1,"CRÍTICO (&lt;10%)",IF(O51&lt;0.15,"ABAIXO DA META (10-15%)",IF(O51&lt;=0.2,"DENTRO DA META (15-20%)","ACIMA DA META (&gt;20%)")))))</f>
        <v>DENTRO DA META (15-20%)</v>
      </c>
      <c r="Q51" s="19"/>
      <c r="R51" s="19"/>
    </row>
    <row r="52" customFormat="false" ht="15" hidden="false" customHeight="true" outlineLevel="0" collapsed="false">
      <c r="A52" s="32" t="n">
        <v>46265</v>
      </c>
      <c r="B52" s="19" t="s">
        <v>106</v>
      </c>
      <c r="C52" s="19" t="n">
        <v>1</v>
      </c>
      <c r="D52" s="19" t="s">
        <v>247</v>
      </c>
      <c r="E52" s="20" t="n">
        <f aca="false">IF($B52="","",INDEX(Simulador!$D$7:$D$232,MATCH($B52,Simulador!$A$7:$A$232,0)))</f>
        <v>132.9</v>
      </c>
      <c r="F52" s="20"/>
      <c r="G52" s="13" t="n">
        <f aca="false">IF(OR($B52="",$C52=""),"",$C52*E52-IF(F52="",0,F52))</f>
        <v>132.9</v>
      </c>
      <c r="H52" s="8" t="str">
        <f aca="false">IF($B52="","",INDEX(Simulador!$B$7:$B$232,MATCH($B52,Simulador!$A$7:$A$232,0)))</f>
        <v>Pequenos</v>
      </c>
      <c r="I52" s="13" t="n">
        <f aca="false">IF(OR(H52="",$D52=""),"",INDEX(Ref_Frete!$B$2:$G$54,MATCH($D52,Ref_Frete!$A$2:$A$54,0),IF(H52="Pequenos",2,IF(H52="Medios",4,6))))</f>
        <v>24.9</v>
      </c>
      <c r="J52" s="20" t="n">
        <v>14.3</v>
      </c>
      <c r="K52" s="20" t="n">
        <f aca="false">IF(G52="","",ROUND($D$3*(G52+IF(I52="",0,I52)),2))</f>
        <v>21.3</v>
      </c>
      <c r="L52" s="13" t="n">
        <f aca="false">IF(OR($B52="",$C52=""),"",$C52*INDEX(Simulador!$F$7:$F$232,MATCH($B52,Simulador!$A$7:$A$232,0)))</f>
        <v>63.11</v>
      </c>
      <c r="M52" s="13" t="n">
        <f aca="false">IF(G52="","",G52*$B$3)</f>
        <v>13.29</v>
      </c>
      <c r="N52" s="35" t="n">
        <f aca="false">IF(OR(G52="",J52=""),"",G52+IF(I52="",0,I52)-J52-K52-L52-M52)</f>
        <v>45.8</v>
      </c>
      <c r="O52" s="12" t="n">
        <f aca="false">IF(OR(N52="",G52=0,G52=""),"",N52/G52)</f>
        <v>0.344620015048909</v>
      </c>
      <c r="P52" s="22" t="str">
        <f aca="false">IF(O52="","",IF(O52&lt;0,"PREJUÍZO",IF(O52&lt;0.1,"CRÍTICO (&lt;10%)",IF(O52&lt;0.15,"ABAIXO DA META (10-15%)",IF(O52&lt;=0.2,"DENTRO DA META (15-20%)","ACIMA DA META (&gt;20%)")))))</f>
        <v>ACIMA DA META (&gt;20%)</v>
      </c>
      <c r="Q52" s="19"/>
      <c r="R52" s="19"/>
    </row>
    <row r="53" customFormat="false" ht="15" hidden="false" customHeight="true" outlineLevel="0" collapsed="false">
      <c r="A53" s="32" t="n">
        <v>46266</v>
      </c>
      <c r="B53" s="19" t="s">
        <v>109</v>
      </c>
      <c r="C53" s="19" t="n">
        <v>1</v>
      </c>
      <c r="D53" s="19" t="s">
        <v>225</v>
      </c>
      <c r="E53" s="20" t="n">
        <f aca="false">IF($B53="","",INDEX(Simulador!$D$7:$D$232,MATCH($B53,Simulador!$A$7:$A$232,0)))</f>
        <v>143.13</v>
      </c>
      <c r="F53" s="20"/>
      <c r="G53" s="13" t="n">
        <f aca="false">IF(OR($B53="",$C53=""),"",$C53*E53-IF(F53="",0,F53))</f>
        <v>143.13</v>
      </c>
      <c r="H53" s="8" t="str">
        <f aca="false">IF($B53="","",INDEX(Simulador!$B$7:$B$232,MATCH($B53,Simulador!$A$7:$A$232,0)))</f>
        <v>Pequenos</v>
      </c>
      <c r="I53" s="13" t="n">
        <f aca="false">IF(OR(H53="",$D53=""),"",INDEX(Ref_Frete!$B$2:$G$54,MATCH($D53,Ref_Frete!$A$2:$A$54,0),IF(H53="Pequenos",2,IF(H53="Medios",4,6))))</f>
        <v>42</v>
      </c>
      <c r="J53" s="20" t="n">
        <v>19.45</v>
      </c>
      <c r="K53" s="20" t="n">
        <f aca="false">IF(G53="","",ROUND($D$3*(G53+IF(I53="",0,I53)),2))</f>
        <v>24.99</v>
      </c>
      <c r="L53" s="13" t="n">
        <f aca="false">IF(OR($B53="",$C53=""),"",$C53*INDEX(Simulador!$F$7:$F$232,MATCH($B53,Simulador!$A$7:$A$232,0)))</f>
        <v>69.27</v>
      </c>
      <c r="M53" s="13" t="n">
        <f aca="false">IF(G53="","",G53*$B$3)</f>
        <v>14.313</v>
      </c>
      <c r="N53" s="35" t="n">
        <f aca="false">IF(OR(G53="",J53=""),"",G53+IF(I53="",0,I53)-J53-K53-L53-M53)</f>
        <v>57.107</v>
      </c>
      <c r="O53" s="12" t="n">
        <f aca="false">IF(OR(N53="",G53=0,G53=""),"",N53/G53)</f>
        <v>0.398986934954237</v>
      </c>
      <c r="P53" s="22" t="str">
        <f aca="false">IF(O53="","",IF(O53&lt;0,"PREJUÍZO",IF(O53&lt;0.1,"CRÍTICO (&lt;10%)",IF(O53&lt;0.15,"ABAIXO DA META (10-15%)",IF(O53&lt;=0.2,"DENTRO DA META (15-20%)","ACIMA DA META (&gt;20%)")))))</f>
        <v>ACIMA DA META (&gt;20%)</v>
      </c>
      <c r="Q53" s="19"/>
      <c r="R53" s="19"/>
    </row>
    <row r="54" customFormat="false" ht="15" hidden="false" customHeight="true" outlineLevel="0" collapsed="false">
      <c r="A54" s="32"/>
      <c r="B54" s="19"/>
      <c r="C54" s="19"/>
      <c r="D54" s="19"/>
      <c r="E54" s="20" t="str">
        <f aca="false">IF($B54="","",INDEX(Simulador!$D$7:$D$232,MATCH($B54,Simulador!$A$7:$A$232,0)))</f>
        <v/>
      </c>
      <c r="F54" s="20"/>
      <c r="G54" s="13" t="str">
        <f aca="false">IF(OR($B54="",$C54=""),"",$C54*E54-IF(F54="",0,F54))</f>
        <v/>
      </c>
      <c r="H54" s="8" t="str">
        <f aca="false">IF($B54="","",INDEX(Simulador!$B$7:$B$232,MATCH($B54,Simulador!$A$7:$A$232,0)))</f>
        <v/>
      </c>
      <c r="I54" s="13" t="str">
        <f aca="false">IF(OR(H54="",$D54=""),"",INDEX(Ref_Frete!$B$2:$G$54,MATCH($D54,Ref_Frete!$A$2:$A$54,0),IF(H54="Pequenos",2,IF(H54="Medios",4,6))))</f>
        <v/>
      </c>
      <c r="J54" s="20"/>
      <c r="K54" s="20" t="str">
        <f aca="false">IF(G54="","",ROUND($D$3*(G54+IF(I54="",0,I54)),2))</f>
        <v/>
      </c>
      <c r="L54" s="13" t="str">
        <f aca="false">IF(OR($B54="",$C54=""),"",$C54*INDEX(Simulador!$F$7:$F$232,MATCH($B54,Simulador!$A$7:$A$232,0)))</f>
        <v/>
      </c>
      <c r="M54" s="13" t="str">
        <f aca="false">IF(G54="","",G54*$B$3)</f>
        <v/>
      </c>
      <c r="N54" s="35" t="str">
        <f aca="false">IF(OR(G54="",J54=""),"",G54+IF(I54="",0,I54)-J54-K54-L54-M54)</f>
        <v/>
      </c>
      <c r="O54" s="12" t="str">
        <f aca="false">IF(OR(N54="",G54=0,G54=""),"",N54/G54)</f>
        <v/>
      </c>
      <c r="P54" s="22" t="str">
        <f aca="false">IF(O54="","",IF(O54&lt;0,"PREJUÍZO",IF(O54&lt;0.1,"CRÍTICO (&lt;10%)",IF(O54&lt;0.15,"ABAIXO DA META (10-15%)",IF(O54&lt;=0.2,"DENTRO DA META (15-20%)","ACIMA DA META (&gt;20%)")))))</f>
        <v/>
      </c>
      <c r="Q54" s="19"/>
      <c r="R54" s="19"/>
    </row>
    <row r="55" customFormat="false" ht="15" hidden="false" customHeight="true" outlineLevel="0" collapsed="false">
      <c r="A55" s="32"/>
      <c r="B55" s="19"/>
      <c r="C55" s="19"/>
      <c r="D55" s="19"/>
      <c r="E55" s="20" t="str">
        <f aca="false">IF($B55="","",INDEX(Simulador!$D$7:$D$232,MATCH($B55,Simulador!$A$7:$A$232,0)))</f>
        <v/>
      </c>
      <c r="F55" s="20"/>
      <c r="G55" s="13" t="str">
        <f aca="false">IF(OR($B55="",$C55=""),"",$C55*E55-IF(F55="",0,F55))</f>
        <v/>
      </c>
      <c r="H55" s="8" t="str">
        <f aca="false">IF($B55="","",INDEX(Simulador!$B$7:$B$232,MATCH($B55,Simulador!$A$7:$A$232,0)))</f>
        <v/>
      </c>
      <c r="I55" s="13" t="str">
        <f aca="false">IF(OR(H55="",$D55=""),"",INDEX(Ref_Frete!$B$2:$G$54,MATCH($D55,Ref_Frete!$A$2:$A$54,0),IF(H55="Pequenos",2,IF(H55="Medios",4,6))))</f>
        <v/>
      </c>
      <c r="J55" s="20"/>
      <c r="K55" s="20" t="str">
        <f aca="false">IF(G55="","",ROUND($D$3*(G55+IF(I55="",0,I55)),2))</f>
        <v/>
      </c>
      <c r="L55" s="13" t="str">
        <f aca="false">IF(OR($B55="",$C55=""),"",$C55*INDEX(Simulador!$F$7:$F$232,MATCH($B55,Simulador!$A$7:$A$232,0)))</f>
        <v/>
      </c>
      <c r="M55" s="13" t="str">
        <f aca="false">IF(G55="","",G55*$B$3)</f>
        <v/>
      </c>
      <c r="N55" s="35" t="str">
        <f aca="false">IF(OR(G55="",J55=""),"",G55+IF(I55="",0,I55)-J55-K55-L55-M55)</f>
        <v/>
      </c>
      <c r="O55" s="12" t="str">
        <f aca="false">IF(OR(N55="",G55=0,G55=""),"",N55/G55)</f>
        <v/>
      </c>
      <c r="P55" s="22" t="str">
        <f aca="false">IF(O55="","",IF(O55&lt;0,"PREJUÍZO",IF(O55&lt;0.1,"CRÍTICO (&lt;10%)",IF(O55&lt;0.15,"ABAIXO DA META (10-15%)",IF(O55&lt;=0.2,"DENTRO DA META (15-20%)","ACIMA DA META (&gt;20%)")))))</f>
        <v/>
      </c>
      <c r="Q55" s="19"/>
      <c r="R55" s="19"/>
    </row>
    <row r="56" customFormat="false" ht="15" hidden="false" customHeight="true" outlineLevel="0" collapsed="false">
      <c r="A56" s="32"/>
      <c r="B56" s="19"/>
      <c r="C56" s="19"/>
      <c r="D56" s="19"/>
      <c r="E56" s="20" t="str">
        <f aca="false">IF($B56="","",INDEX(Simulador!$D$7:$D$232,MATCH($B56,Simulador!$A$7:$A$232,0)))</f>
        <v/>
      </c>
      <c r="F56" s="20"/>
      <c r="G56" s="13" t="str">
        <f aca="false">IF(OR($B56="",$C56=""),"",$C56*E56-IF(F56="",0,F56))</f>
        <v/>
      </c>
      <c r="H56" s="8" t="str">
        <f aca="false">IF($B56="","",INDEX(Simulador!$B$7:$B$232,MATCH($B56,Simulador!$A$7:$A$232,0)))</f>
        <v/>
      </c>
      <c r="I56" s="13" t="str">
        <f aca="false">IF(OR(H56="",$D56=""),"",INDEX(Ref_Frete!$B$2:$G$54,MATCH($D56,Ref_Frete!$A$2:$A$54,0),IF(H56="Pequenos",2,IF(H56="Medios",4,6))))</f>
        <v/>
      </c>
      <c r="J56" s="20"/>
      <c r="K56" s="20" t="str">
        <f aca="false">IF(G56="","",ROUND($D$3*(G56+IF(I56="",0,I56)),2))</f>
        <v/>
      </c>
      <c r="L56" s="13" t="str">
        <f aca="false">IF(OR($B56="",$C56=""),"",$C56*INDEX(Simulador!$F$7:$F$232,MATCH($B56,Simulador!$A$7:$A$232,0)))</f>
        <v/>
      </c>
      <c r="M56" s="13" t="str">
        <f aca="false">IF(G56="","",G56*$B$3)</f>
        <v/>
      </c>
      <c r="N56" s="35" t="str">
        <f aca="false">IF(OR(G56="",J56=""),"",G56+IF(I56="",0,I56)-J56-K56-L56-M56)</f>
        <v/>
      </c>
      <c r="O56" s="12" t="str">
        <f aca="false">IF(OR(N56="",G56=0,G56=""),"",N56/G56)</f>
        <v/>
      </c>
      <c r="P56" s="22" t="str">
        <f aca="false">IF(O56="","",IF(O56&lt;0,"PREJUÍZO",IF(O56&lt;0.1,"CRÍTICO (&lt;10%)",IF(O56&lt;0.15,"ABAIXO DA META (10-15%)",IF(O56&lt;=0.2,"DENTRO DA META (15-20%)","ACIMA DA META (&gt;20%)")))))</f>
        <v/>
      </c>
      <c r="Q56" s="19"/>
      <c r="R56" s="19"/>
    </row>
    <row r="57" customFormat="false" ht="15" hidden="false" customHeight="true" outlineLevel="0" collapsed="false">
      <c r="A57" s="32"/>
      <c r="B57" s="19"/>
      <c r="C57" s="19"/>
      <c r="D57" s="19"/>
      <c r="E57" s="20" t="str">
        <f aca="false">IF($B57="","",INDEX(Simulador!$D$7:$D$232,MATCH($B57,Simulador!$A$7:$A$232,0)))</f>
        <v/>
      </c>
      <c r="F57" s="20"/>
      <c r="G57" s="13" t="str">
        <f aca="false">IF(OR($B57="",$C57=""),"",$C57*E57-IF(F57="",0,F57))</f>
        <v/>
      </c>
      <c r="H57" s="8" t="str">
        <f aca="false">IF($B57="","",INDEX(Simulador!$B$7:$B$232,MATCH($B57,Simulador!$A$7:$A$232,0)))</f>
        <v/>
      </c>
      <c r="I57" s="13" t="str">
        <f aca="false">IF(OR(H57="",$D57=""),"",INDEX(Ref_Frete!$B$2:$G$54,MATCH($D57,Ref_Frete!$A$2:$A$54,0),IF(H57="Pequenos",2,IF(H57="Medios",4,6))))</f>
        <v/>
      </c>
      <c r="J57" s="20"/>
      <c r="K57" s="20" t="str">
        <f aca="false">IF(G57="","",ROUND($D$3*(G57+IF(I57="",0,I57)),2))</f>
        <v/>
      </c>
      <c r="L57" s="13" t="str">
        <f aca="false">IF(OR($B57="",$C57=""),"",$C57*INDEX(Simulador!$F$7:$F$232,MATCH($B57,Simulador!$A$7:$A$232,0)))</f>
        <v/>
      </c>
      <c r="M57" s="13" t="str">
        <f aca="false">IF(G57="","",G57*$B$3)</f>
        <v/>
      </c>
      <c r="N57" s="35" t="str">
        <f aca="false">IF(OR(G57="",J57=""),"",G57+IF(I57="",0,I57)-J57-K57-L57-M57)</f>
        <v/>
      </c>
      <c r="O57" s="12" t="str">
        <f aca="false">IF(OR(N57="",G57=0,G57=""),"",N57/G57)</f>
        <v/>
      </c>
      <c r="P57" s="22" t="str">
        <f aca="false">IF(O57="","",IF(O57&lt;0,"PREJUÍZO",IF(O57&lt;0.1,"CRÍTICO (&lt;10%)",IF(O57&lt;0.15,"ABAIXO DA META (10-15%)",IF(O57&lt;=0.2,"DENTRO DA META (15-20%)","ACIMA DA META (&gt;20%)")))))</f>
        <v/>
      </c>
      <c r="Q57" s="19"/>
      <c r="R57" s="19"/>
    </row>
    <row r="58" customFormat="false" ht="15" hidden="false" customHeight="true" outlineLevel="0" collapsed="false">
      <c r="A58" s="32"/>
      <c r="B58" s="19"/>
      <c r="C58" s="19"/>
      <c r="D58" s="19"/>
      <c r="E58" s="20" t="str">
        <f aca="false">IF($B58="","",INDEX(Simulador!$D$7:$D$232,MATCH($B58,Simulador!$A$7:$A$232,0)))</f>
        <v/>
      </c>
      <c r="F58" s="20"/>
      <c r="G58" s="13" t="str">
        <f aca="false">IF(OR($B58="",$C58=""),"",$C58*E58-IF(F58="",0,F58))</f>
        <v/>
      </c>
      <c r="H58" s="8" t="str">
        <f aca="false">IF($B58="","",INDEX(Simulador!$B$7:$B$232,MATCH($B58,Simulador!$A$7:$A$232,0)))</f>
        <v/>
      </c>
      <c r="I58" s="13" t="str">
        <f aca="false">IF(OR(H58="",$D58=""),"",INDEX(Ref_Frete!$B$2:$G$54,MATCH($D58,Ref_Frete!$A$2:$A$54,0),IF(H58="Pequenos",2,IF(H58="Medios",4,6))))</f>
        <v/>
      </c>
      <c r="J58" s="20"/>
      <c r="K58" s="20" t="str">
        <f aca="false">IF(G58="","",ROUND($D$3*(G58+IF(I58="",0,I58)),2))</f>
        <v/>
      </c>
      <c r="L58" s="13" t="str">
        <f aca="false">IF(OR($B58="",$C58=""),"",$C58*INDEX(Simulador!$F$7:$F$232,MATCH($B58,Simulador!$A$7:$A$232,0)))</f>
        <v/>
      </c>
      <c r="M58" s="13" t="str">
        <f aca="false">IF(G58="","",G58*$B$3)</f>
        <v/>
      </c>
      <c r="N58" s="35" t="str">
        <f aca="false">IF(OR(G58="",J58=""),"",G58+IF(I58="",0,I58)-J58-K58-L58-M58)</f>
        <v/>
      </c>
      <c r="O58" s="12" t="str">
        <f aca="false">IF(OR(N58="",G58=0,G58=""),"",N58/G58)</f>
        <v/>
      </c>
      <c r="P58" s="22" t="str">
        <f aca="false">IF(O58="","",IF(O58&lt;0,"PREJUÍZO",IF(O58&lt;0.1,"CRÍTICO (&lt;10%)",IF(O58&lt;0.15,"ABAIXO DA META (10-15%)",IF(O58&lt;=0.2,"DENTRO DA META (15-20%)","ACIMA DA META (&gt;20%)")))))</f>
        <v/>
      </c>
      <c r="Q58" s="19"/>
      <c r="R58" s="19"/>
    </row>
    <row r="59" customFormat="false" ht="15" hidden="false" customHeight="true" outlineLevel="0" collapsed="false">
      <c r="A59" s="32"/>
      <c r="B59" s="19"/>
      <c r="C59" s="19"/>
      <c r="D59" s="19"/>
      <c r="E59" s="20" t="str">
        <f aca="false">IF($B59="","",INDEX(Simulador!$D$7:$D$232,MATCH($B59,Simulador!$A$7:$A$232,0)))</f>
        <v/>
      </c>
      <c r="F59" s="20"/>
      <c r="G59" s="13" t="str">
        <f aca="false">IF(OR($B59="",$C59=""),"",$C59*E59-IF(F59="",0,F59))</f>
        <v/>
      </c>
      <c r="H59" s="8" t="str">
        <f aca="false">IF($B59="","",INDEX(Simulador!$B$7:$B$232,MATCH($B59,Simulador!$A$7:$A$232,0)))</f>
        <v/>
      </c>
      <c r="I59" s="13" t="str">
        <f aca="false">IF(OR(H59="",$D59=""),"",INDEX(Ref_Frete!$B$2:$G$54,MATCH($D59,Ref_Frete!$A$2:$A$54,0),IF(H59="Pequenos",2,IF(H59="Medios",4,6))))</f>
        <v/>
      </c>
      <c r="J59" s="20"/>
      <c r="K59" s="20" t="str">
        <f aca="false">IF(G59="","",ROUND($D$3*(G59+IF(I59="",0,I59)),2))</f>
        <v/>
      </c>
      <c r="L59" s="13" t="str">
        <f aca="false">IF(OR($B59="",$C59=""),"",$C59*INDEX(Simulador!$F$7:$F$232,MATCH($B59,Simulador!$A$7:$A$232,0)))</f>
        <v/>
      </c>
      <c r="M59" s="13" t="str">
        <f aca="false">IF(G59="","",G59*$B$3)</f>
        <v/>
      </c>
      <c r="N59" s="35" t="str">
        <f aca="false">IF(OR(G59="",J59=""),"",G59+IF(I59="",0,I59)-J59-K59-L59-M59)</f>
        <v/>
      </c>
      <c r="O59" s="12" t="str">
        <f aca="false">IF(OR(N59="",G59=0,G59=""),"",N59/G59)</f>
        <v/>
      </c>
      <c r="P59" s="22" t="str">
        <f aca="false">IF(O59="","",IF(O59&lt;0,"PREJUÍZO",IF(O59&lt;0.1,"CRÍTICO (&lt;10%)",IF(O59&lt;0.15,"ABAIXO DA META (10-15%)",IF(O59&lt;=0.2,"DENTRO DA META (15-20%)","ACIMA DA META (&gt;20%)")))))</f>
        <v/>
      </c>
      <c r="Q59" s="19"/>
      <c r="R59" s="19"/>
    </row>
    <row r="60" customFormat="false" ht="15" hidden="false" customHeight="true" outlineLevel="0" collapsed="false">
      <c r="A60" s="32"/>
      <c r="B60" s="19"/>
      <c r="C60" s="19"/>
      <c r="D60" s="19"/>
      <c r="E60" s="20" t="str">
        <f aca="false">IF($B60="","",INDEX(Simulador!$D$7:$D$232,MATCH($B60,Simulador!$A$7:$A$232,0)))</f>
        <v/>
      </c>
      <c r="F60" s="20"/>
      <c r="G60" s="13" t="str">
        <f aca="false">IF(OR($B60="",$C60=""),"",$C60*E60-IF(F60="",0,F60))</f>
        <v/>
      </c>
      <c r="H60" s="8" t="str">
        <f aca="false">IF($B60="","",INDEX(Simulador!$B$7:$B$232,MATCH($B60,Simulador!$A$7:$A$232,0)))</f>
        <v/>
      </c>
      <c r="I60" s="13" t="str">
        <f aca="false">IF(OR(H60="",$D60=""),"",INDEX(Ref_Frete!$B$2:$G$54,MATCH($D60,Ref_Frete!$A$2:$A$54,0),IF(H60="Pequenos",2,IF(H60="Medios",4,6))))</f>
        <v/>
      </c>
      <c r="J60" s="20"/>
      <c r="K60" s="20" t="str">
        <f aca="false">IF(G60="","",ROUND($D$3*(G60+IF(I60="",0,I60)),2))</f>
        <v/>
      </c>
      <c r="L60" s="13" t="str">
        <f aca="false">IF(OR($B60="",$C60=""),"",$C60*INDEX(Simulador!$F$7:$F$232,MATCH($B60,Simulador!$A$7:$A$232,0)))</f>
        <v/>
      </c>
      <c r="M60" s="13" t="str">
        <f aca="false">IF(G60="","",G60*$B$3)</f>
        <v/>
      </c>
      <c r="N60" s="35" t="str">
        <f aca="false">IF(OR(G60="",J60=""),"",G60+IF(I60="",0,I60)-J60-K60-L60-M60)</f>
        <v/>
      </c>
      <c r="O60" s="12" t="str">
        <f aca="false">IF(OR(N60="",G60=0,G60=""),"",N60/G60)</f>
        <v/>
      </c>
      <c r="P60" s="22" t="str">
        <f aca="false">IF(O60="","",IF(O60&lt;0,"PREJUÍZO",IF(O60&lt;0.1,"CRÍTICO (&lt;10%)",IF(O60&lt;0.15,"ABAIXO DA META (10-15%)",IF(O60&lt;=0.2,"DENTRO DA META (15-20%)","ACIMA DA META (&gt;20%)")))))</f>
        <v/>
      </c>
      <c r="Q60" s="19"/>
      <c r="R60" s="19"/>
    </row>
    <row r="61" customFormat="false" ht="15" hidden="false" customHeight="true" outlineLevel="0" collapsed="false">
      <c r="A61" s="32"/>
      <c r="B61" s="19"/>
      <c r="C61" s="19"/>
      <c r="D61" s="19"/>
      <c r="E61" s="20" t="str">
        <f aca="false">IF($B61="","",INDEX(Simulador!$D$7:$D$232,MATCH($B61,Simulador!$A$7:$A$232,0)))</f>
        <v/>
      </c>
      <c r="F61" s="20"/>
      <c r="G61" s="13" t="str">
        <f aca="false">IF(OR($B61="",$C61=""),"",$C61*E61-IF(F61="",0,F61))</f>
        <v/>
      </c>
      <c r="H61" s="8" t="str">
        <f aca="false">IF($B61="","",INDEX(Simulador!$B$7:$B$232,MATCH($B61,Simulador!$A$7:$A$232,0)))</f>
        <v/>
      </c>
      <c r="I61" s="13" t="str">
        <f aca="false">IF(OR(H61="",$D61=""),"",INDEX(Ref_Frete!$B$2:$G$54,MATCH($D61,Ref_Frete!$A$2:$A$54,0),IF(H61="Pequenos",2,IF(H61="Medios",4,6))))</f>
        <v/>
      </c>
      <c r="J61" s="20"/>
      <c r="K61" s="20" t="str">
        <f aca="false">IF(G61="","",ROUND($D$3*(G61+IF(I61="",0,I61)),2))</f>
        <v/>
      </c>
      <c r="L61" s="13" t="str">
        <f aca="false">IF(OR($B61="",$C61=""),"",$C61*INDEX(Simulador!$F$7:$F$232,MATCH($B61,Simulador!$A$7:$A$232,0)))</f>
        <v/>
      </c>
      <c r="M61" s="13" t="str">
        <f aca="false">IF(G61="","",G61*$B$3)</f>
        <v/>
      </c>
      <c r="N61" s="35" t="str">
        <f aca="false">IF(OR(G61="",J61=""),"",G61+IF(I61="",0,I61)-J61-K61-L61-M61)</f>
        <v/>
      </c>
      <c r="O61" s="12" t="str">
        <f aca="false">IF(OR(N61="",G61=0,G61=""),"",N61/G61)</f>
        <v/>
      </c>
      <c r="P61" s="22" t="str">
        <f aca="false">IF(O61="","",IF(O61&lt;0,"PREJUÍZO",IF(O61&lt;0.1,"CRÍTICO (&lt;10%)",IF(O61&lt;0.15,"ABAIXO DA META (10-15%)",IF(O61&lt;=0.2,"DENTRO DA META (15-20%)","ACIMA DA META (&gt;20%)")))))</f>
        <v/>
      </c>
      <c r="Q61" s="19"/>
      <c r="R61" s="19"/>
    </row>
    <row r="62" customFormat="false" ht="15" hidden="false" customHeight="true" outlineLevel="0" collapsed="false">
      <c r="A62" s="32"/>
      <c r="B62" s="19"/>
      <c r="C62" s="19"/>
      <c r="D62" s="19"/>
      <c r="E62" s="20" t="str">
        <f aca="false">IF($B62="","",INDEX(Simulador!$D$7:$D$232,MATCH($B62,Simulador!$A$7:$A$232,0)))</f>
        <v/>
      </c>
      <c r="F62" s="20"/>
      <c r="G62" s="13" t="str">
        <f aca="false">IF(OR($B62="",$C62=""),"",$C62*E62-IF(F62="",0,F62))</f>
        <v/>
      </c>
      <c r="H62" s="8" t="str">
        <f aca="false">IF($B62="","",INDEX(Simulador!$B$7:$B$232,MATCH($B62,Simulador!$A$7:$A$232,0)))</f>
        <v/>
      </c>
      <c r="I62" s="13" t="str">
        <f aca="false">IF(OR(H62="",$D62=""),"",INDEX(Ref_Frete!$B$2:$G$54,MATCH($D62,Ref_Frete!$A$2:$A$54,0),IF(H62="Pequenos",2,IF(H62="Medios",4,6))))</f>
        <v/>
      </c>
      <c r="J62" s="20"/>
      <c r="K62" s="20" t="str">
        <f aca="false">IF(G62="","",ROUND($D$3*(G62+IF(I62="",0,I62)),2))</f>
        <v/>
      </c>
      <c r="L62" s="13" t="str">
        <f aca="false">IF(OR($B62="",$C62=""),"",$C62*INDEX(Simulador!$F$7:$F$232,MATCH($B62,Simulador!$A$7:$A$232,0)))</f>
        <v/>
      </c>
      <c r="M62" s="13" t="str">
        <f aca="false">IF(G62="","",G62*$B$3)</f>
        <v/>
      </c>
      <c r="N62" s="35" t="str">
        <f aca="false">IF(OR(G62="",J62=""),"",G62+IF(I62="",0,I62)-J62-K62-L62-M62)</f>
        <v/>
      </c>
      <c r="O62" s="12" t="str">
        <f aca="false">IF(OR(N62="",G62=0,G62=""),"",N62/G62)</f>
        <v/>
      </c>
      <c r="P62" s="22" t="str">
        <f aca="false">IF(O62="","",IF(O62&lt;0,"PREJUÍZO",IF(O62&lt;0.1,"CRÍTICO (&lt;10%)",IF(O62&lt;0.15,"ABAIXO DA META (10-15%)",IF(O62&lt;=0.2,"DENTRO DA META (15-20%)","ACIMA DA META (&gt;20%)")))))</f>
        <v/>
      </c>
      <c r="Q62" s="19"/>
      <c r="R62" s="19"/>
    </row>
    <row r="63" customFormat="false" ht="15" hidden="false" customHeight="true" outlineLevel="0" collapsed="false">
      <c r="A63" s="32"/>
      <c r="B63" s="19"/>
      <c r="C63" s="19"/>
      <c r="D63" s="19"/>
      <c r="E63" s="20" t="str">
        <f aca="false">IF($B63="","",INDEX(Simulador!$D$7:$D$232,MATCH($B63,Simulador!$A$7:$A$232,0)))</f>
        <v/>
      </c>
      <c r="F63" s="20"/>
      <c r="G63" s="13" t="str">
        <f aca="false">IF(OR($B63="",$C63=""),"",$C63*E63-IF(F63="",0,F63))</f>
        <v/>
      </c>
      <c r="H63" s="8" t="str">
        <f aca="false">IF($B63="","",INDEX(Simulador!$B$7:$B$232,MATCH($B63,Simulador!$A$7:$A$232,0)))</f>
        <v/>
      </c>
      <c r="I63" s="13" t="str">
        <f aca="false">IF(OR(H63="",$D63=""),"",INDEX(Ref_Frete!$B$2:$G$54,MATCH($D63,Ref_Frete!$A$2:$A$54,0),IF(H63="Pequenos",2,IF(H63="Medios",4,6))))</f>
        <v/>
      </c>
      <c r="J63" s="20"/>
      <c r="K63" s="20" t="str">
        <f aca="false">IF(G63="","",ROUND($D$3*(G63+IF(I63="",0,I63)),2))</f>
        <v/>
      </c>
      <c r="L63" s="13" t="str">
        <f aca="false">IF(OR($B63="",$C63=""),"",$C63*INDEX(Simulador!$F$7:$F$232,MATCH($B63,Simulador!$A$7:$A$232,0)))</f>
        <v/>
      </c>
      <c r="M63" s="13" t="str">
        <f aca="false">IF(G63="","",G63*$B$3)</f>
        <v/>
      </c>
      <c r="N63" s="35" t="str">
        <f aca="false">IF(OR(G63="",J63=""),"",G63+IF(I63="",0,I63)-J63-K63-L63-M63)</f>
        <v/>
      </c>
      <c r="O63" s="12" t="str">
        <f aca="false">IF(OR(N63="",G63=0,G63=""),"",N63/G63)</f>
        <v/>
      </c>
      <c r="P63" s="22" t="str">
        <f aca="false">IF(O63="","",IF(O63&lt;0,"PREJUÍZO",IF(O63&lt;0.1,"CRÍTICO (&lt;10%)",IF(O63&lt;0.15,"ABAIXO DA META (10-15%)",IF(O63&lt;=0.2,"DENTRO DA META (15-20%)","ACIMA DA META (&gt;20%)")))))</f>
        <v/>
      </c>
      <c r="Q63" s="19"/>
      <c r="R63" s="19"/>
    </row>
    <row r="64" customFormat="false" ht="15" hidden="false" customHeight="true" outlineLevel="0" collapsed="false">
      <c r="A64" s="32"/>
      <c r="B64" s="19"/>
      <c r="C64" s="19"/>
      <c r="D64" s="19"/>
      <c r="E64" s="20" t="str">
        <f aca="false">IF($B64="","",INDEX(Simulador!$D$7:$D$232,MATCH($B64,Simulador!$A$7:$A$232,0)))</f>
        <v/>
      </c>
      <c r="F64" s="20"/>
      <c r="G64" s="13" t="str">
        <f aca="false">IF(OR($B64="",$C64=""),"",$C64*E64-IF(F64="",0,F64))</f>
        <v/>
      </c>
      <c r="H64" s="8" t="str">
        <f aca="false">IF($B64="","",INDEX(Simulador!$B$7:$B$232,MATCH($B64,Simulador!$A$7:$A$232,0)))</f>
        <v/>
      </c>
      <c r="I64" s="13" t="str">
        <f aca="false">IF(OR(H64="",$D64=""),"",INDEX(Ref_Frete!$B$2:$G$54,MATCH($D64,Ref_Frete!$A$2:$A$54,0),IF(H64="Pequenos",2,IF(H64="Medios",4,6))))</f>
        <v/>
      </c>
      <c r="J64" s="20"/>
      <c r="K64" s="20" t="str">
        <f aca="false">IF(G64="","",ROUND($D$3*(G64+IF(I64="",0,I64)),2))</f>
        <v/>
      </c>
      <c r="L64" s="13" t="str">
        <f aca="false">IF(OR($B64="",$C64=""),"",$C64*INDEX(Simulador!$F$7:$F$232,MATCH($B64,Simulador!$A$7:$A$232,0)))</f>
        <v/>
      </c>
      <c r="M64" s="13" t="str">
        <f aca="false">IF(G64="","",G64*$B$3)</f>
        <v/>
      </c>
      <c r="N64" s="35" t="str">
        <f aca="false">IF(OR(G64="",J64=""),"",G64+IF(I64="",0,I64)-J64-K64-L64-M64)</f>
        <v/>
      </c>
      <c r="O64" s="12" t="str">
        <f aca="false">IF(OR(N64="",G64=0,G64=""),"",N64/G64)</f>
        <v/>
      </c>
      <c r="P64" s="22" t="str">
        <f aca="false">IF(O64="","",IF(O64&lt;0,"PREJUÍZO",IF(O64&lt;0.1,"CRÍTICO (&lt;10%)",IF(O64&lt;0.15,"ABAIXO DA META (10-15%)",IF(O64&lt;=0.2,"DENTRO DA META (15-20%)","ACIMA DA META (&gt;20%)")))))</f>
        <v/>
      </c>
      <c r="Q64" s="19"/>
      <c r="R64" s="19"/>
    </row>
    <row r="65" customFormat="false" ht="15" hidden="false" customHeight="true" outlineLevel="0" collapsed="false">
      <c r="A65" s="32"/>
      <c r="B65" s="19"/>
      <c r="C65" s="19"/>
      <c r="D65" s="19"/>
      <c r="E65" s="20" t="str">
        <f aca="false">IF($B65="","",INDEX(Simulador!$D$7:$D$232,MATCH($B65,Simulador!$A$7:$A$232,0)))</f>
        <v/>
      </c>
      <c r="F65" s="20"/>
      <c r="G65" s="13" t="str">
        <f aca="false">IF(OR($B65="",$C65=""),"",$C65*E65-IF(F65="",0,F65))</f>
        <v/>
      </c>
      <c r="H65" s="8" t="str">
        <f aca="false">IF($B65="","",INDEX(Simulador!$B$7:$B$232,MATCH($B65,Simulador!$A$7:$A$232,0)))</f>
        <v/>
      </c>
      <c r="I65" s="13" t="str">
        <f aca="false">IF(OR(H65="",$D65=""),"",INDEX(Ref_Frete!$B$2:$G$54,MATCH($D65,Ref_Frete!$A$2:$A$54,0),IF(H65="Pequenos",2,IF(H65="Medios",4,6))))</f>
        <v/>
      </c>
      <c r="J65" s="20"/>
      <c r="K65" s="20" t="str">
        <f aca="false">IF(G65="","",ROUND($D$3*(G65+IF(I65="",0,I65)),2))</f>
        <v/>
      </c>
      <c r="L65" s="13" t="str">
        <f aca="false">IF(OR($B65="",$C65=""),"",$C65*INDEX(Simulador!$F$7:$F$232,MATCH($B65,Simulador!$A$7:$A$232,0)))</f>
        <v/>
      </c>
      <c r="M65" s="13" t="str">
        <f aca="false">IF(G65="","",G65*$B$3)</f>
        <v/>
      </c>
      <c r="N65" s="35" t="str">
        <f aca="false">IF(OR(G65="",J65=""),"",G65+IF(I65="",0,I65)-J65-K65-L65-M65)</f>
        <v/>
      </c>
      <c r="O65" s="12" t="str">
        <f aca="false">IF(OR(N65="",G65=0,G65=""),"",N65/G65)</f>
        <v/>
      </c>
      <c r="P65" s="22" t="str">
        <f aca="false">IF(O65="","",IF(O65&lt;0,"PREJUÍZO",IF(O65&lt;0.1,"CRÍTICO (&lt;10%)",IF(O65&lt;0.15,"ABAIXO DA META (10-15%)",IF(O65&lt;=0.2,"DENTRO DA META (15-20%)","ACIMA DA META (&gt;20%)")))))</f>
        <v/>
      </c>
      <c r="Q65" s="19"/>
      <c r="R65" s="19"/>
    </row>
    <row r="66" customFormat="false" ht="15" hidden="false" customHeight="true" outlineLevel="0" collapsed="false">
      <c r="A66" s="32"/>
      <c r="B66" s="19"/>
      <c r="C66" s="19"/>
      <c r="D66" s="19"/>
      <c r="E66" s="20" t="str">
        <f aca="false">IF($B66="","",INDEX(Simulador!$D$7:$D$232,MATCH($B66,Simulador!$A$7:$A$232,0)))</f>
        <v/>
      </c>
      <c r="F66" s="20"/>
      <c r="G66" s="13" t="str">
        <f aca="false">IF(OR($B66="",$C66=""),"",$C66*E66-IF(F66="",0,F66))</f>
        <v/>
      </c>
      <c r="H66" s="8" t="str">
        <f aca="false">IF($B66="","",INDEX(Simulador!$B$7:$B$232,MATCH($B66,Simulador!$A$7:$A$232,0)))</f>
        <v/>
      </c>
      <c r="I66" s="13" t="str">
        <f aca="false">IF(OR(H66="",$D66=""),"",INDEX(Ref_Frete!$B$2:$G$54,MATCH($D66,Ref_Frete!$A$2:$A$54,0),IF(H66="Pequenos",2,IF(H66="Medios",4,6))))</f>
        <v/>
      </c>
      <c r="J66" s="20"/>
      <c r="K66" s="20" t="str">
        <f aca="false">IF(G66="","",ROUND($D$3*(G66+IF(I66="",0,I66)),2))</f>
        <v/>
      </c>
      <c r="L66" s="13" t="str">
        <f aca="false">IF(OR($B66="",$C66=""),"",$C66*INDEX(Simulador!$F$7:$F$232,MATCH($B66,Simulador!$A$7:$A$232,0)))</f>
        <v/>
      </c>
      <c r="M66" s="13" t="str">
        <f aca="false">IF(G66="","",G66*$B$3)</f>
        <v/>
      </c>
      <c r="N66" s="35" t="str">
        <f aca="false">IF(OR(G66="",J66=""),"",G66+IF(I66="",0,I66)-J66-K66-L66-M66)</f>
        <v/>
      </c>
      <c r="O66" s="12" t="str">
        <f aca="false">IF(OR(N66="",G66=0,G66=""),"",N66/G66)</f>
        <v/>
      </c>
      <c r="P66" s="22" t="str">
        <f aca="false">IF(O66="","",IF(O66&lt;0,"PREJUÍZO",IF(O66&lt;0.1,"CRÍTICO (&lt;10%)",IF(O66&lt;0.15,"ABAIXO DA META (10-15%)",IF(O66&lt;=0.2,"DENTRO DA META (15-20%)","ACIMA DA META (&gt;20%)")))))</f>
        <v/>
      </c>
      <c r="Q66" s="19"/>
      <c r="R66" s="19"/>
    </row>
    <row r="67" customFormat="false" ht="15" hidden="false" customHeight="true" outlineLevel="0" collapsed="false">
      <c r="A67" s="32"/>
      <c r="B67" s="19"/>
      <c r="C67" s="19"/>
      <c r="D67" s="19"/>
      <c r="E67" s="20" t="str">
        <f aca="false">IF($B67="","",INDEX(Simulador!$D$7:$D$232,MATCH($B67,Simulador!$A$7:$A$232,0)))</f>
        <v/>
      </c>
      <c r="F67" s="20"/>
      <c r="G67" s="13" t="str">
        <f aca="false">IF(OR($B67="",$C67=""),"",$C67*E67-IF(F67="",0,F67))</f>
        <v/>
      </c>
      <c r="H67" s="8" t="str">
        <f aca="false">IF($B67="","",INDEX(Simulador!$B$7:$B$232,MATCH($B67,Simulador!$A$7:$A$232,0)))</f>
        <v/>
      </c>
      <c r="I67" s="13" t="str">
        <f aca="false">IF(OR(H67="",$D67=""),"",INDEX(Ref_Frete!$B$2:$G$54,MATCH($D67,Ref_Frete!$A$2:$A$54,0),IF(H67="Pequenos",2,IF(H67="Medios",4,6))))</f>
        <v/>
      </c>
      <c r="J67" s="20"/>
      <c r="K67" s="20" t="str">
        <f aca="false">IF(G67="","",ROUND($D$3*(G67+IF(I67="",0,I67)),2))</f>
        <v/>
      </c>
      <c r="L67" s="13" t="str">
        <f aca="false">IF(OR($B67="",$C67=""),"",$C67*INDEX(Simulador!$F$7:$F$232,MATCH($B67,Simulador!$A$7:$A$232,0)))</f>
        <v/>
      </c>
      <c r="M67" s="13" t="str">
        <f aca="false">IF(G67="","",G67*$B$3)</f>
        <v/>
      </c>
      <c r="N67" s="35" t="str">
        <f aca="false">IF(OR(G67="",J67=""),"",G67+IF(I67="",0,I67)-J67-K67-L67-M67)</f>
        <v/>
      </c>
      <c r="O67" s="12" t="str">
        <f aca="false">IF(OR(N67="",G67=0,G67=""),"",N67/G67)</f>
        <v/>
      </c>
      <c r="P67" s="22" t="str">
        <f aca="false">IF(O67="","",IF(O67&lt;0,"PREJUÍZO",IF(O67&lt;0.1,"CRÍTICO (&lt;10%)",IF(O67&lt;0.15,"ABAIXO DA META (10-15%)",IF(O67&lt;=0.2,"DENTRO DA META (15-20%)","ACIMA DA META (&gt;20%)")))))</f>
        <v/>
      </c>
      <c r="Q67" s="19"/>
      <c r="R67" s="19"/>
    </row>
    <row r="68" customFormat="false" ht="15" hidden="false" customHeight="true" outlineLevel="0" collapsed="false">
      <c r="A68" s="32"/>
      <c r="B68" s="19"/>
      <c r="C68" s="19"/>
      <c r="D68" s="19"/>
      <c r="E68" s="20" t="str">
        <f aca="false">IF($B68="","",INDEX(Simulador!$D$7:$D$232,MATCH($B68,Simulador!$A$7:$A$232,0)))</f>
        <v/>
      </c>
      <c r="F68" s="20"/>
      <c r="G68" s="13" t="str">
        <f aca="false">IF(OR($B68="",$C68=""),"",$C68*E68-IF(F68="",0,F68))</f>
        <v/>
      </c>
      <c r="H68" s="8" t="str">
        <f aca="false">IF($B68="","",INDEX(Simulador!$B$7:$B$232,MATCH($B68,Simulador!$A$7:$A$232,0)))</f>
        <v/>
      </c>
      <c r="I68" s="13" t="str">
        <f aca="false">IF(OR(H68="",$D68=""),"",INDEX(Ref_Frete!$B$2:$G$54,MATCH($D68,Ref_Frete!$A$2:$A$54,0),IF(H68="Pequenos",2,IF(H68="Medios",4,6))))</f>
        <v/>
      </c>
      <c r="J68" s="20"/>
      <c r="K68" s="20" t="str">
        <f aca="false">IF(G68="","",ROUND($D$3*(G68+IF(I68="",0,I68)),2))</f>
        <v/>
      </c>
      <c r="L68" s="13" t="str">
        <f aca="false">IF(OR($B68="",$C68=""),"",$C68*INDEX(Simulador!$F$7:$F$232,MATCH($B68,Simulador!$A$7:$A$232,0)))</f>
        <v/>
      </c>
      <c r="M68" s="13" t="str">
        <f aca="false">IF(G68="","",G68*$B$3)</f>
        <v/>
      </c>
      <c r="N68" s="35" t="str">
        <f aca="false">IF(OR(G68="",J68=""),"",G68+IF(I68="",0,I68)-J68-K68-L68-M68)</f>
        <v/>
      </c>
      <c r="O68" s="12" t="str">
        <f aca="false">IF(OR(N68="",G68=0,G68=""),"",N68/G68)</f>
        <v/>
      </c>
      <c r="P68" s="22" t="str">
        <f aca="false">IF(O68="","",IF(O68&lt;0,"PREJUÍZO",IF(O68&lt;0.1,"CRÍTICO (&lt;10%)",IF(O68&lt;0.15,"ABAIXO DA META (10-15%)",IF(O68&lt;=0.2,"DENTRO DA META (15-20%)","ACIMA DA META (&gt;20%)")))))</f>
        <v/>
      </c>
      <c r="Q68" s="19"/>
      <c r="R68" s="19"/>
    </row>
    <row r="69" customFormat="false" ht="15" hidden="false" customHeight="true" outlineLevel="0" collapsed="false">
      <c r="A69" s="32"/>
      <c r="B69" s="19"/>
      <c r="C69" s="19"/>
      <c r="D69" s="19"/>
      <c r="E69" s="20" t="str">
        <f aca="false">IF($B69="","",INDEX(Simulador!$D$7:$D$232,MATCH($B69,Simulador!$A$7:$A$232,0)))</f>
        <v/>
      </c>
      <c r="F69" s="20"/>
      <c r="G69" s="13" t="str">
        <f aca="false">IF(OR($B69="",$C69=""),"",$C69*E69-IF(F69="",0,F69))</f>
        <v/>
      </c>
      <c r="H69" s="8" t="str">
        <f aca="false">IF($B69="","",INDEX(Simulador!$B$7:$B$232,MATCH($B69,Simulador!$A$7:$A$232,0)))</f>
        <v/>
      </c>
      <c r="I69" s="13" t="str">
        <f aca="false">IF(OR(H69="",$D69=""),"",INDEX(Ref_Frete!$B$2:$G$54,MATCH($D69,Ref_Frete!$A$2:$A$54,0),IF(H69="Pequenos",2,IF(H69="Medios",4,6))))</f>
        <v/>
      </c>
      <c r="J69" s="20"/>
      <c r="K69" s="20" t="str">
        <f aca="false">IF(G69="","",ROUND($D$3*(G69+IF(I69="",0,I69)),2))</f>
        <v/>
      </c>
      <c r="L69" s="13" t="str">
        <f aca="false">IF(OR($B69="",$C69=""),"",$C69*INDEX(Simulador!$F$7:$F$232,MATCH($B69,Simulador!$A$7:$A$232,0)))</f>
        <v/>
      </c>
      <c r="M69" s="13" t="str">
        <f aca="false">IF(G69="","",G69*$B$3)</f>
        <v/>
      </c>
      <c r="N69" s="35" t="str">
        <f aca="false">IF(OR(G69="",J69=""),"",G69+IF(I69="",0,I69)-J69-K69-L69-M69)</f>
        <v/>
      </c>
      <c r="O69" s="12" t="str">
        <f aca="false">IF(OR(N69="",G69=0,G69=""),"",N69/G69)</f>
        <v/>
      </c>
      <c r="P69" s="22" t="str">
        <f aca="false">IF(O69="","",IF(O69&lt;0,"PREJUÍZO",IF(O69&lt;0.1,"CRÍTICO (&lt;10%)",IF(O69&lt;0.15,"ABAIXO DA META (10-15%)",IF(O69&lt;=0.2,"DENTRO DA META (15-20%)","ACIMA DA META (&gt;20%)")))))</f>
        <v/>
      </c>
      <c r="Q69" s="19"/>
      <c r="R69" s="19"/>
    </row>
    <row r="70" customFormat="false" ht="15" hidden="false" customHeight="true" outlineLevel="0" collapsed="false">
      <c r="A70" s="32"/>
      <c r="B70" s="19"/>
      <c r="C70" s="19"/>
      <c r="D70" s="19"/>
      <c r="E70" s="20" t="str">
        <f aca="false">IF($B70="","",INDEX(Simulador!$D$7:$D$232,MATCH($B70,Simulador!$A$7:$A$232,0)))</f>
        <v/>
      </c>
      <c r="F70" s="20"/>
      <c r="G70" s="13" t="str">
        <f aca="false">IF(OR($B70="",$C70=""),"",$C70*E70-IF(F70="",0,F70))</f>
        <v/>
      </c>
      <c r="H70" s="8" t="str">
        <f aca="false">IF($B70="","",INDEX(Simulador!$B$7:$B$232,MATCH($B70,Simulador!$A$7:$A$232,0)))</f>
        <v/>
      </c>
      <c r="I70" s="13" t="str">
        <f aca="false">IF(OR(H70="",$D70=""),"",INDEX(Ref_Frete!$B$2:$G$54,MATCH($D70,Ref_Frete!$A$2:$A$54,0),IF(H70="Pequenos",2,IF(H70="Medios",4,6))))</f>
        <v/>
      </c>
      <c r="J70" s="20"/>
      <c r="K70" s="20" t="str">
        <f aca="false">IF(G70="","",ROUND($D$3*(G70+IF(I70="",0,I70)),2))</f>
        <v/>
      </c>
      <c r="L70" s="13" t="str">
        <f aca="false">IF(OR($B70="",$C70=""),"",$C70*INDEX(Simulador!$F$7:$F$232,MATCH($B70,Simulador!$A$7:$A$232,0)))</f>
        <v/>
      </c>
      <c r="M70" s="13" t="str">
        <f aca="false">IF(G70="","",G70*$B$3)</f>
        <v/>
      </c>
      <c r="N70" s="35" t="str">
        <f aca="false">IF(OR(G70="",J70=""),"",G70+IF(I70="",0,I70)-J70-K70-L70-M70)</f>
        <v/>
      </c>
      <c r="O70" s="12" t="str">
        <f aca="false">IF(OR(N70="",G70=0,G70=""),"",N70/G70)</f>
        <v/>
      </c>
      <c r="P70" s="22" t="str">
        <f aca="false">IF(O70="","",IF(O70&lt;0,"PREJUÍZO",IF(O70&lt;0.1,"CRÍTICO (&lt;10%)",IF(O70&lt;0.15,"ABAIXO DA META (10-15%)",IF(O70&lt;=0.2,"DENTRO DA META (15-20%)","ACIMA DA META (&gt;20%)")))))</f>
        <v/>
      </c>
      <c r="Q70" s="19"/>
      <c r="R70" s="19"/>
    </row>
    <row r="71" customFormat="false" ht="15" hidden="false" customHeight="true" outlineLevel="0" collapsed="false">
      <c r="A71" s="32"/>
      <c r="B71" s="19"/>
      <c r="C71" s="19"/>
      <c r="D71" s="19"/>
      <c r="E71" s="20" t="str">
        <f aca="false">IF($B71="","",INDEX(Simulador!$D$7:$D$232,MATCH($B71,Simulador!$A$7:$A$232,0)))</f>
        <v/>
      </c>
      <c r="F71" s="20"/>
      <c r="G71" s="13" t="str">
        <f aca="false">IF(OR($B71="",$C71=""),"",$C71*E71-IF(F71="",0,F71))</f>
        <v/>
      </c>
      <c r="H71" s="8" t="str">
        <f aca="false">IF($B71="","",INDEX(Simulador!$B$7:$B$232,MATCH($B71,Simulador!$A$7:$A$232,0)))</f>
        <v/>
      </c>
      <c r="I71" s="13" t="str">
        <f aca="false">IF(OR(H71="",$D71=""),"",INDEX(Ref_Frete!$B$2:$G$54,MATCH($D71,Ref_Frete!$A$2:$A$54,0),IF(H71="Pequenos",2,IF(H71="Medios",4,6))))</f>
        <v/>
      </c>
      <c r="J71" s="20"/>
      <c r="K71" s="20" t="str">
        <f aca="false">IF(G71="","",ROUND($D$3*(G71+IF(I71="",0,I71)),2))</f>
        <v/>
      </c>
      <c r="L71" s="13" t="str">
        <f aca="false">IF(OR($B71="",$C71=""),"",$C71*INDEX(Simulador!$F$7:$F$232,MATCH($B71,Simulador!$A$7:$A$232,0)))</f>
        <v/>
      </c>
      <c r="M71" s="13" t="str">
        <f aca="false">IF(G71="","",G71*$B$3)</f>
        <v/>
      </c>
      <c r="N71" s="35" t="str">
        <f aca="false">IF(OR(G71="",J71=""),"",G71+IF(I71="",0,I71)-J71-K71-L71-M71)</f>
        <v/>
      </c>
      <c r="O71" s="12" t="str">
        <f aca="false">IF(OR(N71="",G71=0,G71=""),"",N71/G71)</f>
        <v/>
      </c>
      <c r="P71" s="22" t="str">
        <f aca="false">IF(O71="","",IF(O71&lt;0,"PREJUÍZO",IF(O71&lt;0.1,"CRÍTICO (&lt;10%)",IF(O71&lt;0.15,"ABAIXO DA META (10-15%)",IF(O71&lt;=0.2,"DENTRO DA META (15-20%)","ACIMA DA META (&gt;20%)")))))</f>
        <v/>
      </c>
      <c r="Q71" s="19"/>
      <c r="R71" s="19"/>
    </row>
    <row r="72" customFormat="false" ht="15" hidden="false" customHeight="true" outlineLevel="0" collapsed="false">
      <c r="A72" s="32"/>
      <c r="B72" s="19"/>
      <c r="C72" s="19"/>
      <c r="D72" s="19"/>
      <c r="E72" s="20" t="str">
        <f aca="false">IF($B72="","",INDEX(Simulador!$D$7:$D$232,MATCH($B72,Simulador!$A$7:$A$232,0)))</f>
        <v/>
      </c>
      <c r="F72" s="20"/>
      <c r="G72" s="13" t="str">
        <f aca="false">IF(OR($B72="",$C72=""),"",$C72*E72-IF(F72="",0,F72))</f>
        <v/>
      </c>
      <c r="H72" s="8" t="str">
        <f aca="false">IF($B72="","",INDEX(Simulador!$B$7:$B$232,MATCH($B72,Simulador!$A$7:$A$232,0)))</f>
        <v/>
      </c>
      <c r="I72" s="13" t="str">
        <f aca="false">IF(OR(H72="",$D72=""),"",INDEX(Ref_Frete!$B$2:$G$54,MATCH($D72,Ref_Frete!$A$2:$A$54,0),IF(H72="Pequenos",2,IF(H72="Medios",4,6))))</f>
        <v/>
      </c>
      <c r="J72" s="20"/>
      <c r="K72" s="20" t="str">
        <f aca="false">IF(G72="","",ROUND($D$3*(G72+IF(I72="",0,I72)),2))</f>
        <v/>
      </c>
      <c r="L72" s="13" t="str">
        <f aca="false">IF(OR($B72="",$C72=""),"",$C72*INDEX(Simulador!$F$7:$F$232,MATCH($B72,Simulador!$A$7:$A$232,0)))</f>
        <v/>
      </c>
      <c r="M72" s="13" t="str">
        <f aca="false">IF(G72="","",G72*$B$3)</f>
        <v/>
      </c>
      <c r="N72" s="35" t="str">
        <f aca="false">IF(OR(G72="",J72=""),"",G72+IF(I72="",0,I72)-J72-K72-L72-M72)</f>
        <v/>
      </c>
      <c r="O72" s="12" t="str">
        <f aca="false">IF(OR(N72="",G72=0,G72=""),"",N72/G72)</f>
        <v/>
      </c>
      <c r="P72" s="22" t="str">
        <f aca="false">IF(O72="","",IF(O72&lt;0,"PREJUÍZO",IF(O72&lt;0.1,"CRÍTICO (&lt;10%)",IF(O72&lt;0.15,"ABAIXO DA META (10-15%)",IF(O72&lt;=0.2,"DENTRO DA META (15-20%)","ACIMA DA META (&gt;20%)")))))</f>
        <v/>
      </c>
      <c r="Q72" s="19"/>
      <c r="R72" s="19"/>
    </row>
    <row r="73" customFormat="false" ht="15" hidden="false" customHeight="true" outlineLevel="0" collapsed="false">
      <c r="A73" s="32"/>
      <c r="B73" s="19"/>
      <c r="C73" s="19"/>
      <c r="D73" s="19"/>
      <c r="E73" s="20" t="str">
        <f aca="false">IF($B73="","",INDEX(Simulador!$D$7:$D$232,MATCH($B73,Simulador!$A$7:$A$232,0)))</f>
        <v/>
      </c>
      <c r="F73" s="20"/>
      <c r="G73" s="13" t="str">
        <f aca="false">IF(OR($B73="",$C73=""),"",$C73*E73-IF(F73="",0,F73))</f>
        <v/>
      </c>
      <c r="H73" s="8" t="str">
        <f aca="false">IF($B73="","",INDEX(Simulador!$B$7:$B$232,MATCH($B73,Simulador!$A$7:$A$232,0)))</f>
        <v/>
      </c>
      <c r="I73" s="13" t="str">
        <f aca="false">IF(OR(H73="",$D73=""),"",INDEX(Ref_Frete!$B$2:$G$54,MATCH($D73,Ref_Frete!$A$2:$A$54,0),IF(H73="Pequenos",2,IF(H73="Medios",4,6))))</f>
        <v/>
      </c>
      <c r="J73" s="20"/>
      <c r="K73" s="20" t="str">
        <f aca="false">IF(G73="","",ROUND($D$3*(G73+IF(I73="",0,I73)),2))</f>
        <v/>
      </c>
      <c r="L73" s="13" t="str">
        <f aca="false">IF(OR($B73="",$C73=""),"",$C73*INDEX(Simulador!$F$7:$F$232,MATCH($B73,Simulador!$A$7:$A$232,0)))</f>
        <v/>
      </c>
      <c r="M73" s="13" t="str">
        <f aca="false">IF(G73="","",G73*$B$3)</f>
        <v/>
      </c>
      <c r="N73" s="35" t="str">
        <f aca="false">IF(OR(G73="",J73=""),"",G73+IF(I73="",0,I73)-J73-K73-L73-M73)</f>
        <v/>
      </c>
      <c r="O73" s="12" t="str">
        <f aca="false">IF(OR(N73="",G73=0,G73=""),"",N73/G73)</f>
        <v/>
      </c>
      <c r="P73" s="22" t="str">
        <f aca="false">IF(O73="","",IF(O73&lt;0,"PREJUÍZO",IF(O73&lt;0.1,"CRÍTICO (&lt;10%)",IF(O73&lt;0.15,"ABAIXO DA META (10-15%)",IF(O73&lt;=0.2,"DENTRO DA META (15-20%)","ACIMA DA META (&gt;20%)")))))</f>
        <v/>
      </c>
      <c r="Q73" s="19"/>
      <c r="R73" s="19"/>
    </row>
    <row r="74" customFormat="false" ht="15" hidden="false" customHeight="true" outlineLevel="0" collapsed="false">
      <c r="A74" s="32"/>
      <c r="B74" s="19"/>
      <c r="C74" s="19"/>
      <c r="D74" s="19"/>
      <c r="E74" s="20" t="str">
        <f aca="false">IF($B74="","",INDEX(Simulador!$D$7:$D$232,MATCH($B74,Simulador!$A$7:$A$232,0)))</f>
        <v/>
      </c>
      <c r="F74" s="20"/>
      <c r="G74" s="13" t="str">
        <f aca="false">IF(OR($B74="",$C74=""),"",$C74*E74-IF(F74="",0,F74))</f>
        <v/>
      </c>
      <c r="H74" s="8" t="str">
        <f aca="false">IF($B74="","",INDEX(Simulador!$B$7:$B$232,MATCH($B74,Simulador!$A$7:$A$232,0)))</f>
        <v/>
      </c>
      <c r="I74" s="13" t="str">
        <f aca="false">IF(OR(H74="",$D74=""),"",INDEX(Ref_Frete!$B$2:$G$54,MATCH($D74,Ref_Frete!$A$2:$A$54,0),IF(H74="Pequenos",2,IF(H74="Medios",4,6))))</f>
        <v/>
      </c>
      <c r="J74" s="20"/>
      <c r="K74" s="20" t="str">
        <f aca="false">IF(G74="","",ROUND($D$3*(G74+IF(I74="",0,I74)),2))</f>
        <v/>
      </c>
      <c r="L74" s="13" t="str">
        <f aca="false">IF(OR($B74="",$C74=""),"",$C74*INDEX(Simulador!$F$7:$F$232,MATCH($B74,Simulador!$A$7:$A$232,0)))</f>
        <v/>
      </c>
      <c r="M74" s="13" t="str">
        <f aca="false">IF(G74="","",G74*$B$3)</f>
        <v/>
      </c>
      <c r="N74" s="35" t="str">
        <f aca="false">IF(OR(G74="",J74=""),"",G74+IF(I74="",0,I74)-J74-K74-L74-M74)</f>
        <v/>
      </c>
      <c r="O74" s="12" t="str">
        <f aca="false">IF(OR(N74="",G74=0,G74=""),"",N74/G74)</f>
        <v/>
      </c>
      <c r="P74" s="22" t="str">
        <f aca="false">IF(O74="","",IF(O74&lt;0,"PREJUÍZO",IF(O74&lt;0.1,"CRÍTICO (&lt;10%)",IF(O74&lt;0.15,"ABAIXO DA META (10-15%)",IF(O74&lt;=0.2,"DENTRO DA META (15-20%)","ACIMA DA META (&gt;20%)")))))</f>
        <v/>
      </c>
      <c r="Q74" s="19"/>
      <c r="R74" s="19"/>
    </row>
    <row r="75" customFormat="false" ht="15" hidden="false" customHeight="true" outlineLevel="0" collapsed="false">
      <c r="A75" s="32"/>
      <c r="B75" s="19"/>
      <c r="C75" s="19"/>
      <c r="D75" s="19"/>
      <c r="E75" s="20" t="str">
        <f aca="false">IF($B75="","",INDEX(Simulador!$D$7:$D$232,MATCH($B75,Simulador!$A$7:$A$232,0)))</f>
        <v/>
      </c>
      <c r="F75" s="20"/>
      <c r="G75" s="13" t="str">
        <f aca="false">IF(OR($B75="",$C75=""),"",$C75*E75-IF(F75="",0,F75))</f>
        <v/>
      </c>
      <c r="H75" s="8" t="str">
        <f aca="false">IF($B75="","",INDEX(Simulador!$B$7:$B$232,MATCH($B75,Simulador!$A$7:$A$232,0)))</f>
        <v/>
      </c>
      <c r="I75" s="13" t="str">
        <f aca="false">IF(OR(H75="",$D75=""),"",INDEX(Ref_Frete!$B$2:$G$54,MATCH($D75,Ref_Frete!$A$2:$A$54,0),IF(H75="Pequenos",2,IF(H75="Medios",4,6))))</f>
        <v/>
      </c>
      <c r="J75" s="20"/>
      <c r="K75" s="20" t="str">
        <f aca="false">IF(G75="","",ROUND($D$3*(G75+IF(I75="",0,I75)),2))</f>
        <v/>
      </c>
      <c r="L75" s="13" t="str">
        <f aca="false">IF(OR($B75="",$C75=""),"",$C75*INDEX(Simulador!$F$7:$F$232,MATCH($B75,Simulador!$A$7:$A$232,0)))</f>
        <v/>
      </c>
      <c r="M75" s="13" t="str">
        <f aca="false">IF(G75="","",G75*$B$3)</f>
        <v/>
      </c>
      <c r="N75" s="35" t="str">
        <f aca="false">IF(OR(G75="",J75=""),"",G75+IF(I75="",0,I75)-J75-K75-L75-M75)</f>
        <v/>
      </c>
      <c r="O75" s="12" t="str">
        <f aca="false">IF(OR(N75="",G75=0,G75=""),"",N75/G75)</f>
        <v/>
      </c>
      <c r="P75" s="22" t="str">
        <f aca="false">IF(O75="","",IF(O75&lt;0,"PREJUÍZO",IF(O75&lt;0.1,"CRÍTICO (&lt;10%)",IF(O75&lt;0.15,"ABAIXO DA META (10-15%)",IF(O75&lt;=0.2,"DENTRO DA META (15-20%)","ACIMA DA META (&gt;20%)")))))</f>
        <v/>
      </c>
      <c r="Q75" s="19"/>
      <c r="R75" s="19"/>
    </row>
    <row r="76" customFormat="false" ht="15" hidden="false" customHeight="true" outlineLevel="0" collapsed="false">
      <c r="A76" s="32"/>
      <c r="B76" s="19"/>
      <c r="C76" s="19"/>
      <c r="D76" s="19"/>
      <c r="E76" s="20" t="str">
        <f aca="false">IF($B76="","",INDEX(Simulador!$D$7:$D$232,MATCH($B76,Simulador!$A$7:$A$232,0)))</f>
        <v/>
      </c>
      <c r="F76" s="20"/>
      <c r="G76" s="13" t="str">
        <f aca="false">IF(OR($B76="",$C76=""),"",$C76*E76-IF(F76="",0,F76))</f>
        <v/>
      </c>
      <c r="H76" s="8" t="str">
        <f aca="false">IF($B76="","",INDEX(Simulador!$B$7:$B$232,MATCH($B76,Simulador!$A$7:$A$232,0)))</f>
        <v/>
      </c>
      <c r="I76" s="13" t="str">
        <f aca="false">IF(OR(H76="",$D76=""),"",INDEX(Ref_Frete!$B$2:$G$54,MATCH($D76,Ref_Frete!$A$2:$A$54,0),IF(H76="Pequenos",2,IF(H76="Medios",4,6))))</f>
        <v/>
      </c>
      <c r="J76" s="20"/>
      <c r="K76" s="20" t="str">
        <f aca="false">IF(G76="","",ROUND($D$3*(G76+IF(I76="",0,I76)),2))</f>
        <v/>
      </c>
      <c r="L76" s="13" t="str">
        <f aca="false">IF(OR($B76="",$C76=""),"",$C76*INDEX(Simulador!$F$7:$F$232,MATCH($B76,Simulador!$A$7:$A$232,0)))</f>
        <v/>
      </c>
      <c r="M76" s="13" t="str">
        <f aca="false">IF(G76="","",G76*$B$3)</f>
        <v/>
      </c>
      <c r="N76" s="35" t="str">
        <f aca="false">IF(OR(G76="",J76=""),"",G76+IF(I76="",0,I76)-J76-K76-L76-M76)</f>
        <v/>
      </c>
      <c r="O76" s="12" t="str">
        <f aca="false">IF(OR(N76="",G76=0,G76=""),"",N76/G76)</f>
        <v/>
      </c>
      <c r="P76" s="22" t="str">
        <f aca="false">IF(O76="","",IF(O76&lt;0,"PREJUÍZO",IF(O76&lt;0.1,"CRÍTICO (&lt;10%)",IF(O76&lt;0.15,"ABAIXO DA META (10-15%)",IF(O76&lt;=0.2,"DENTRO DA META (15-20%)","ACIMA DA META (&gt;20%)")))))</f>
        <v/>
      </c>
      <c r="Q76" s="19"/>
      <c r="R76" s="19"/>
    </row>
    <row r="77" customFormat="false" ht="15" hidden="false" customHeight="true" outlineLevel="0" collapsed="false">
      <c r="A77" s="32"/>
      <c r="B77" s="19"/>
      <c r="C77" s="19"/>
      <c r="D77" s="19"/>
      <c r="E77" s="20" t="str">
        <f aca="false">IF($B77="","",INDEX(Simulador!$D$7:$D$232,MATCH($B77,Simulador!$A$7:$A$232,0)))</f>
        <v/>
      </c>
      <c r="F77" s="20"/>
      <c r="G77" s="13" t="str">
        <f aca="false">IF(OR($B77="",$C77=""),"",$C77*E77-IF(F77="",0,F77))</f>
        <v/>
      </c>
      <c r="H77" s="8" t="str">
        <f aca="false">IF($B77="","",INDEX(Simulador!$B$7:$B$232,MATCH($B77,Simulador!$A$7:$A$232,0)))</f>
        <v/>
      </c>
      <c r="I77" s="13" t="str">
        <f aca="false">IF(OR(H77="",$D77=""),"",INDEX(Ref_Frete!$B$2:$G$54,MATCH($D77,Ref_Frete!$A$2:$A$54,0),IF(H77="Pequenos",2,IF(H77="Medios",4,6))))</f>
        <v/>
      </c>
      <c r="J77" s="20"/>
      <c r="K77" s="20" t="str">
        <f aca="false">IF(G77="","",ROUND($D$3*(G77+IF(I77="",0,I77)),2))</f>
        <v/>
      </c>
      <c r="L77" s="13" t="str">
        <f aca="false">IF(OR($B77="",$C77=""),"",$C77*INDEX(Simulador!$F$7:$F$232,MATCH($B77,Simulador!$A$7:$A$232,0)))</f>
        <v/>
      </c>
      <c r="M77" s="13" t="str">
        <f aca="false">IF(G77="","",G77*$B$3)</f>
        <v/>
      </c>
      <c r="N77" s="35" t="str">
        <f aca="false">IF(OR(G77="",J77=""),"",G77+IF(I77="",0,I77)-J77-K77-L77-M77)</f>
        <v/>
      </c>
      <c r="O77" s="12" t="str">
        <f aca="false">IF(OR(N77="",G77=0,G77=""),"",N77/G77)</f>
        <v/>
      </c>
      <c r="P77" s="22" t="str">
        <f aca="false">IF(O77="","",IF(O77&lt;0,"PREJUÍZO",IF(O77&lt;0.1,"CRÍTICO (&lt;10%)",IF(O77&lt;0.15,"ABAIXO DA META (10-15%)",IF(O77&lt;=0.2,"DENTRO DA META (15-20%)","ACIMA DA META (&gt;20%)")))))</f>
        <v/>
      </c>
      <c r="Q77" s="19"/>
      <c r="R77" s="19"/>
    </row>
    <row r="78" customFormat="false" ht="15" hidden="false" customHeight="true" outlineLevel="0" collapsed="false">
      <c r="A78" s="32"/>
      <c r="B78" s="19"/>
      <c r="C78" s="19"/>
      <c r="D78" s="19"/>
      <c r="E78" s="20" t="str">
        <f aca="false">IF($B78="","",INDEX(Simulador!$D$7:$D$232,MATCH($B78,Simulador!$A$7:$A$232,0)))</f>
        <v/>
      </c>
      <c r="F78" s="20"/>
      <c r="G78" s="13" t="str">
        <f aca="false">IF(OR($B78="",$C78=""),"",$C78*E78-IF(F78="",0,F78))</f>
        <v/>
      </c>
      <c r="H78" s="8" t="str">
        <f aca="false">IF($B78="","",INDEX(Simulador!$B$7:$B$232,MATCH($B78,Simulador!$A$7:$A$232,0)))</f>
        <v/>
      </c>
      <c r="I78" s="13" t="str">
        <f aca="false">IF(OR(H78="",$D78=""),"",INDEX(Ref_Frete!$B$2:$G$54,MATCH($D78,Ref_Frete!$A$2:$A$54,0),IF(H78="Pequenos",2,IF(H78="Medios",4,6))))</f>
        <v/>
      </c>
      <c r="J78" s="20"/>
      <c r="K78" s="20" t="str">
        <f aca="false">IF(G78="","",ROUND($D$3*(G78+IF(I78="",0,I78)),2))</f>
        <v/>
      </c>
      <c r="L78" s="13" t="str">
        <f aca="false">IF(OR($B78="",$C78=""),"",$C78*INDEX(Simulador!$F$7:$F$232,MATCH($B78,Simulador!$A$7:$A$232,0)))</f>
        <v/>
      </c>
      <c r="M78" s="13" t="str">
        <f aca="false">IF(G78="","",G78*$B$3)</f>
        <v/>
      </c>
      <c r="N78" s="35" t="str">
        <f aca="false">IF(OR(G78="",J78=""),"",G78+IF(I78="",0,I78)-J78-K78-L78-M78)</f>
        <v/>
      </c>
      <c r="O78" s="12" t="str">
        <f aca="false">IF(OR(N78="",G78=0,G78=""),"",N78/G78)</f>
        <v/>
      </c>
      <c r="P78" s="22" t="str">
        <f aca="false">IF(O78="","",IF(O78&lt;0,"PREJUÍZO",IF(O78&lt;0.1,"CRÍTICO (&lt;10%)",IF(O78&lt;0.15,"ABAIXO DA META (10-15%)",IF(O78&lt;=0.2,"DENTRO DA META (15-20%)","ACIMA DA META (&gt;20%)")))))</f>
        <v/>
      </c>
      <c r="Q78" s="19"/>
      <c r="R78" s="19"/>
    </row>
    <row r="79" customFormat="false" ht="15" hidden="false" customHeight="true" outlineLevel="0" collapsed="false">
      <c r="A79" s="32"/>
      <c r="B79" s="19"/>
      <c r="C79" s="19"/>
      <c r="D79" s="19"/>
      <c r="E79" s="20" t="str">
        <f aca="false">IF($B79="","",INDEX(Simulador!$D$7:$D$232,MATCH($B79,Simulador!$A$7:$A$232,0)))</f>
        <v/>
      </c>
      <c r="F79" s="20"/>
      <c r="G79" s="13" t="str">
        <f aca="false">IF(OR($B79="",$C79=""),"",$C79*E79-IF(F79="",0,F79))</f>
        <v/>
      </c>
      <c r="H79" s="8" t="str">
        <f aca="false">IF($B79="","",INDEX(Simulador!$B$7:$B$232,MATCH($B79,Simulador!$A$7:$A$232,0)))</f>
        <v/>
      </c>
      <c r="I79" s="13" t="str">
        <f aca="false">IF(OR(H79="",$D79=""),"",INDEX(Ref_Frete!$B$2:$G$54,MATCH($D79,Ref_Frete!$A$2:$A$54,0),IF(H79="Pequenos",2,IF(H79="Medios",4,6))))</f>
        <v/>
      </c>
      <c r="J79" s="20"/>
      <c r="K79" s="20" t="str">
        <f aca="false">IF(G79="","",ROUND($D$3*(G79+IF(I79="",0,I79)),2))</f>
        <v/>
      </c>
      <c r="L79" s="13" t="str">
        <f aca="false">IF(OR($B79="",$C79=""),"",$C79*INDEX(Simulador!$F$7:$F$232,MATCH($B79,Simulador!$A$7:$A$232,0)))</f>
        <v/>
      </c>
      <c r="M79" s="13" t="str">
        <f aca="false">IF(G79="","",G79*$B$3)</f>
        <v/>
      </c>
      <c r="N79" s="35" t="str">
        <f aca="false">IF(OR(G79="",J79=""),"",G79+IF(I79="",0,I79)-J79-K79-L79-M79)</f>
        <v/>
      </c>
      <c r="O79" s="12" t="str">
        <f aca="false">IF(OR(N79="",G79=0,G79=""),"",N79/G79)</f>
        <v/>
      </c>
      <c r="P79" s="22" t="str">
        <f aca="false">IF(O79="","",IF(O79&lt;0,"PREJUÍZO",IF(O79&lt;0.1,"CRÍTICO (&lt;10%)",IF(O79&lt;0.15,"ABAIXO DA META (10-15%)",IF(O79&lt;=0.2,"DENTRO DA META (15-20%)","ACIMA DA META (&gt;20%)")))))</f>
        <v/>
      </c>
      <c r="Q79" s="19"/>
      <c r="R79" s="19"/>
    </row>
    <row r="80" customFormat="false" ht="15" hidden="false" customHeight="true" outlineLevel="0" collapsed="false">
      <c r="A80" s="32"/>
      <c r="B80" s="19"/>
      <c r="C80" s="19"/>
      <c r="D80" s="19"/>
      <c r="E80" s="20" t="str">
        <f aca="false">IF($B80="","",INDEX(Simulador!$D$7:$D$232,MATCH($B80,Simulador!$A$7:$A$232,0)))</f>
        <v/>
      </c>
      <c r="F80" s="20"/>
      <c r="G80" s="13" t="str">
        <f aca="false">IF(OR($B80="",$C80=""),"",$C80*E80-IF(F80="",0,F80))</f>
        <v/>
      </c>
      <c r="H80" s="8" t="str">
        <f aca="false">IF($B80="","",INDEX(Simulador!$B$7:$B$232,MATCH($B80,Simulador!$A$7:$A$232,0)))</f>
        <v/>
      </c>
      <c r="I80" s="13" t="str">
        <f aca="false">IF(OR(H80="",$D80=""),"",INDEX(Ref_Frete!$B$2:$G$54,MATCH($D80,Ref_Frete!$A$2:$A$54,0),IF(H80="Pequenos",2,IF(H80="Medios",4,6))))</f>
        <v/>
      </c>
      <c r="J80" s="20"/>
      <c r="K80" s="20" t="str">
        <f aca="false">IF(G80="","",ROUND($D$3*(G80+IF(I80="",0,I80)),2))</f>
        <v/>
      </c>
      <c r="L80" s="13" t="str">
        <f aca="false">IF(OR($B80="",$C80=""),"",$C80*INDEX(Simulador!$F$7:$F$232,MATCH($B80,Simulador!$A$7:$A$232,0)))</f>
        <v/>
      </c>
      <c r="M80" s="13" t="str">
        <f aca="false">IF(G80="","",G80*$B$3)</f>
        <v/>
      </c>
      <c r="N80" s="35" t="str">
        <f aca="false">IF(OR(G80="",J80=""),"",G80+IF(I80="",0,I80)-J80-K80-L80-M80)</f>
        <v/>
      </c>
      <c r="O80" s="12" t="str">
        <f aca="false">IF(OR(N80="",G80=0,G80=""),"",N80/G80)</f>
        <v/>
      </c>
      <c r="P80" s="22" t="str">
        <f aca="false">IF(O80="","",IF(O80&lt;0,"PREJUÍZO",IF(O80&lt;0.1,"CRÍTICO (&lt;10%)",IF(O80&lt;0.15,"ABAIXO DA META (10-15%)",IF(O80&lt;=0.2,"DENTRO DA META (15-20%)","ACIMA DA META (&gt;20%)")))))</f>
        <v/>
      </c>
      <c r="Q80" s="19"/>
      <c r="R80" s="19"/>
    </row>
    <row r="81" customFormat="false" ht="15" hidden="false" customHeight="true" outlineLevel="0" collapsed="false">
      <c r="A81" s="32"/>
      <c r="B81" s="19"/>
      <c r="C81" s="19"/>
      <c r="D81" s="19"/>
      <c r="E81" s="20" t="str">
        <f aca="false">IF($B81="","",INDEX(Simulador!$D$7:$D$232,MATCH($B81,Simulador!$A$7:$A$232,0)))</f>
        <v/>
      </c>
      <c r="F81" s="20"/>
      <c r="G81" s="13" t="str">
        <f aca="false">IF(OR($B81="",$C81=""),"",$C81*E81-IF(F81="",0,F81))</f>
        <v/>
      </c>
      <c r="H81" s="8" t="str">
        <f aca="false">IF($B81="","",INDEX(Simulador!$B$7:$B$232,MATCH($B81,Simulador!$A$7:$A$232,0)))</f>
        <v/>
      </c>
      <c r="I81" s="13" t="str">
        <f aca="false">IF(OR(H81="",$D81=""),"",INDEX(Ref_Frete!$B$2:$G$54,MATCH($D81,Ref_Frete!$A$2:$A$54,0),IF(H81="Pequenos",2,IF(H81="Medios",4,6))))</f>
        <v/>
      </c>
      <c r="J81" s="20"/>
      <c r="K81" s="20" t="str">
        <f aca="false">IF(G81="","",ROUND($D$3*(G81+IF(I81="",0,I81)),2))</f>
        <v/>
      </c>
      <c r="L81" s="13" t="str">
        <f aca="false">IF(OR($B81="",$C81=""),"",$C81*INDEX(Simulador!$F$7:$F$232,MATCH($B81,Simulador!$A$7:$A$232,0)))</f>
        <v/>
      </c>
      <c r="M81" s="13" t="str">
        <f aca="false">IF(G81="","",G81*$B$3)</f>
        <v/>
      </c>
      <c r="N81" s="35" t="str">
        <f aca="false">IF(OR(G81="",J81=""),"",G81+IF(I81="",0,I81)-J81-K81-L81-M81)</f>
        <v/>
      </c>
      <c r="O81" s="12" t="str">
        <f aca="false">IF(OR(N81="",G81=0,G81=""),"",N81/G81)</f>
        <v/>
      </c>
      <c r="P81" s="22" t="str">
        <f aca="false">IF(O81="","",IF(O81&lt;0,"PREJUÍZO",IF(O81&lt;0.1,"CRÍTICO (&lt;10%)",IF(O81&lt;0.15,"ABAIXO DA META (10-15%)",IF(O81&lt;=0.2,"DENTRO DA META (15-20%)","ACIMA DA META (&gt;20%)")))))</f>
        <v/>
      </c>
      <c r="Q81" s="19"/>
      <c r="R81" s="19"/>
    </row>
    <row r="82" customFormat="false" ht="15" hidden="false" customHeight="true" outlineLevel="0" collapsed="false">
      <c r="A82" s="32"/>
      <c r="B82" s="19"/>
      <c r="C82" s="19"/>
      <c r="D82" s="19"/>
      <c r="E82" s="20" t="str">
        <f aca="false">IF($B82="","",INDEX(Simulador!$D$7:$D$232,MATCH($B82,Simulador!$A$7:$A$232,0)))</f>
        <v/>
      </c>
      <c r="F82" s="20"/>
      <c r="G82" s="13" t="str">
        <f aca="false">IF(OR($B82="",$C82=""),"",$C82*E82-IF(F82="",0,F82))</f>
        <v/>
      </c>
      <c r="H82" s="8" t="str">
        <f aca="false">IF($B82="","",INDEX(Simulador!$B$7:$B$232,MATCH($B82,Simulador!$A$7:$A$232,0)))</f>
        <v/>
      </c>
      <c r="I82" s="13" t="str">
        <f aca="false">IF(OR(H82="",$D82=""),"",INDEX(Ref_Frete!$B$2:$G$54,MATCH($D82,Ref_Frete!$A$2:$A$54,0),IF(H82="Pequenos",2,IF(H82="Medios",4,6))))</f>
        <v/>
      </c>
      <c r="J82" s="20"/>
      <c r="K82" s="20" t="str">
        <f aca="false">IF(G82="","",ROUND($D$3*(G82+IF(I82="",0,I82)),2))</f>
        <v/>
      </c>
      <c r="L82" s="13" t="str">
        <f aca="false">IF(OR($B82="",$C82=""),"",$C82*INDEX(Simulador!$F$7:$F$232,MATCH($B82,Simulador!$A$7:$A$232,0)))</f>
        <v/>
      </c>
      <c r="M82" s="13" t="str">
        <f aca="false">IF(G82="","",G82*$B$3)</f>
        <v/>
      </c>
      <c r="N82" s="35" t="str">
        <f aca="false">IF(OR(G82="",J82=""),"",G82+IF(I82="",0,I82)-J82-K82-L82-M82)</f>
        <v/>
      </c>
      <c r="O82" s="12" t="str">
        <f aca="false">IF(OR(N82="",G82=0,G82=""),"",N82/G82)</f>
        <v/>
      </c>
      <c r="P82" s="22" t="str">
        <f aca="false">IF(O82="","",IF(O82&lt;0,"PREJUÍZO",IF(O82&lt;0.1,"CRÍTICO (&lt;10%)",IF(O82&lt;0.15,"ABAIXO DA META (10-15%)",IF(O82&lt;=0.2,"DENTRO DA META (15-20%)","ACIMA DA META (&gt;20%)")))))</f>
        <v/>
      </c>
      <c r="Q82" s="19"/>
      <c r="R82" s="19"/>
    </row>
    <row r="83" customFormat="false" ht="15" hidden="false" customHeight="true" outlineLevel="0" collapsed="false">
      <c r="A83" s="32"/>
      <c r="B83" s="19"/>
      <c r="C83" s="19"/>
      <c r="D83" s="19"/>
      <c r="E83" s="20" t="str">
        <f aca="false">IF($B83="","",INDEX(Simulador!$D$7:$D$232,MATCH($B83,Simulador!$A$7:$A$232,0)))</f>
        <v/>
      </c>
      <c r="F83" s="20"/>
      <c r="G83" s="13" t="str">
        <f aca="false">IF(OR($B83="",$C83=""),"",$C83*E83-IF(F83="",0,F83))</f>
        <v/>
      </c>
      <c r="H83" s="8" t="str">
        <f aca="false">IF($B83="","",INDEX(Simulador!$B$7:$B$232,MATCH($B83,Simulador!$A$7:$A$232,0)))</f>
        <v/>
      </c>
      <c r="I83" s="13" t="str">
        <f aca="false">IF(OR(H83="",$D83=""),"",INDEX(Ref_Frete!$B$2:$G$54,MATCH($D83,Ref_Frete!$A$2:$A$54,0),IF(H83="Pequenos",2,IF(H83="Medios",4,6))))</f>
        <v/>
      </c>
      <c r="J83" s="20"/>
      <c r="K83" s="20" t="str">
        <f aca="false">IF(G83="","",ROUND($D$3*(G83+IF(I83="",0,I83)),2))</f>
        <v/>
      </c>
      <c r="L83" s="13" t="str">
        <f aca="false">IF(OR($B83="",$C83=""),"",$C83*INDEX(Simulador!$F$7:$F$232,MATCH($B83,Simulador!$A$7:$A$232,0)))</f>
        <v/>
      </c>
      <c r="M83" s="13" t="str">
        <f aca="false">IF(G83="","",G83*$B$3)</f>
        <v/>
      </c>
      <c r="N83" s="35" t="str">
        <f aca="false">IF(OR(G83="",J83=""),"",G83+IF(I83="",0,I83)-J83-K83-L83-M83)</f>
        <v/>
      </c>
      <c r="O83" s="12" t="str">
        <f aca="false">IF(OR(N83="",G83=0,G83=""),"",N83/G83)</f>
        <v/>
      </c>
      <c r="P83" s="22" t="str">
        <f aca="false">IF(O83="","",IF(O83&lt;0,"PREJUÍZO",IF(O83&lt;0.1,"CRÍTICO (&lt;10%)",IF(O83&lt;0.15,"ABAIXO DA META (10-15%)",IF(O83&lt;=0.2,"DENTRO DA META (15-20%)","ACIMA DA META (&gt;20%)")))))</f>
        <v/>
      </c>
      <c r="Q83" s="19"/>
      <c r="R83" s="19"/>
    </row>
    <row r="84" customFormat="false" ht="15" hidden="false" customHeight="true" outlineLevel="0" collapsed="false">
      <c r="A84" s="32"/>
      <c r="B84" s="19"/>
      <c r="C84" s="19"/>
      <c r="D84" s="19"/>
      <c r="E84" s="20" t="str">
        <f aca="false">IF($B84="","",INDEX(Simulador!$D$7:$D$232,MATCH($B84,Simulador!$A$7:$A$232,0)))</f>
        <v/>
      </c>
      <c r="F84" s="20"/>
      <c r="G84" s="13" t="str">
        <f aca="false">IF(OR($B84="",$C84=""),"",$C84*E84-IF(F84="",0,F84))</f>
        <v/>
      </c>
      <c r="H84" s="8" t="str">
        <f aca="false">IF($B84="","",INDEX(Simulador!$B$7:$B$232,MATCH($B84,Simulador!$A$7:$A$232,0)))</f>
        <v/>
      </c>
      <c r="I84" s="13" t="str">
        <f aca="false">IF(OR(H84="",$D84=""),"",INDEX(Ref_Frete!$B$2:$G$54,MATCH($D84,Ref_Frete!$A$2:$A$54,0),IF(H84="Pequenos",2,IF(H84="Medios",4,6))))</f>
        <v/>
      </c>
      <c r="J84" s="20"/>
      <c r="K84" s="20" t="str">
        <f aca="false">IF(G84="","",ROUND($D$3*(G84+IF(I84="",0,I84)),2))</f>
        <v/>
      </c>
      <c r="L84" s="13" t="str">
        <f aca="false">IF(OR($B84="",$C84=""),"",$C84*INDEX(Simulador!$F$7:$F$232,MATCH($B84,Simulador!$A$7:$A$232,0)))</f>
        <v/>
      </c>
      <c r="M84" s="13" t="str">
        <f aca="false">IF(G84="","",G84*$B$3)</f>
        <v/>
      </c>
      <c r="N84" s="35" t="str">
        <f aca="false">IF(OR(G84="",J84=""),"",G84+IF(I84="",0,I84)-J84-K84-L84-M84)</f>
        <v/>
      </c>
      <c r="O84" s="12" t="str">
        <f aca="false">IF(OR(N84="",G84=0,G84=""),"",N84/G84)</f>
        <v/>
      </c>
      <c r="P84" s="22" t="str">
        <f aca="false">IF(O84="","",IF(O84&lt;0,"PREJUÍZO",IF(O84&lt;0.1,"CRÍTICO (&lt;10%)",IF(O84&lt;0.15,"ABAIXO DA META (10-15%)",IF(O84&lt;=0.2,"DENTRO DA META (15-20%)","ACIMA DA META (&gt;20%)")))))</f>
        <v/>
      </c>
      <c r="Q84" s="19"/>
      <c r="R84" s="19"/>
    </row>
    <row r="85" customFormat="false" ht="15" hidden="false" customHeight="true" outlineLevel="0" collapsed="false">
      <c r="A85" s="32"/>
      <c r="B85" s="19"/>
      <c r="C85" s="19"/>
      <c r="D85" s="19"/>
      <c r="E85" s="20" t="str">
        <f aca="false">IF($B85="","",INDEX(Simulador!$D$7:$D$232,MATCH($B85,Simulador!$A$7:$A$232,0)))</f>
        <v/>
      </c>
      <c r="F85" s="20"/>
      <c r="G85" s="13" t="str">
        <f aca="false">IF(OR($B85="",$C85=""),"",$C85*E85-IF(F85="",0,F85))</f>
        <v/>
      </c>
      <c r="H85" s="8" t="str">
        <f aca="false">IF($B85="","",INDEX(Simulador!$B$7:$B$232,MATCH($B85,Simulador!$A$7:$A$232,0)))</f>
        <v/>
      </c>
      <c r="I85" s="13" t="str">
        <f aca="false">IF(OR(H85="",$D85=""),"",INDEX(Ref_Frete!$B$2:$G$54,MATCH($D85,Ref_Frete!$A$2:$A$54,0),IF(H85="Pequenos",2,IF(H85="Medios",4,6))))</f>
        <v/>
      </c>
      <c r="J85" s="20"/>
      <c r="K85" s="20" t="str">
        <f aca="false">IF(G85="","",ROUND($D$3*(G85+IF(I85="",0,I85)),2))</f>
        <v/>
      </c>
      <c r="L85" s="13" t="str">
        <f aca="false">IF(OR($B85="",$C85=""),"",$C85*INDEX(Simulador!$F$7:$F$232,MATCH($B85,Simulador!$A$7:$A$232,0)))</f>
        <v/>
      </c>
      <c r="M85" s="13" t="str">
        <f aca="false">IF(G85="","",G85*$B$3)</f>
        <v/>
      </c>
      <c r="N85" s="35" t="str">
        <f aca="false">IF(OR(G85="",J85=""),"",G85+IF(I85="",0,I85)-J85-K85-L85-M85)</f>
        <v/>
      </c>
      <c r="O85" s="12" t="str">
        <f aca="false">IF(OR(N85="",G85=0,G85=""),"",N85/G85)</f>
        <v/>
      </c>
      <c r="P85" s="22" t="str">
        <f aca="false">IF(O85="","",IF(O85&lt;0,"PREJUÍZO",IF(O85&lt;0.1,"CRÍTICO (&lt;10%)",IF(O85&lt;0.15,"ABAIXO DA META (10-15%)",IF(O85&lt;=0.2,"DENTRO DA META (15-20%)","ACIMA DA META (&gt;20%)")))))</f>
        <v/>
      </c>
      <c r="Q85" s="19"/>
      <c r="R85" s="19"/>
    </row>
    <row r="86" customFormat="false" ht="15" hidden="false" customHeight="true" outlineLevel="0" collapsed="false">
      <c r="A86" s="32"/>
      <c r="B86" s="19"/>
      <c r="C86" s="19"/>
      <c r="D86" s="19"/>
      <c r="E86" s="20" t="str">
        <f aca="false">IF($B86="","",INDEX(Simulador!$D$7:$D$232,MATCH($B86,Simulador!$A$7:$A$232,0)))</f>
        <v/>
      </c>
      <c r="F86" s="20"/>
      <c r="G86" s="13" t="str">
        <f aca="false">IF(OR($B86="",$C86=""),"",$C86*E86-IF(F86="",0,F86))</f>
        <v/>
      </c>
      <c r="H86" s="8" t="str">
        <f aca="false">IF($B86="","",INDEX(Simulador!$B$7:$B$232,MATCH($B86,Simulador!$A$7:$A$232,0)))</f>
        <v/>
      </c>
      <c r="I86" s="13" t="str">
        <f aca="false">IF(OR(H86="",$D86=""),"",INDEX(Ref_Frete!$B$2:$G$54,MATCH($D86,Ref_Frete!$A$2:$A$54,0),IF(H86="Pequenos",2,IF(H86="Medios",4,6))))</f>
        <v/>
      </c>
      <c r="J86" s="20"/>
      <c r="K86" s="20" t="str">
        <f aca="false">IF(G86="","",ROUND($D$3*(G86+IF(I86="",0,I86)),2))</f>
        <v/>
      </c>
      <c r="L86" s="13" t="str">
        <f aca="false">IF(OR($B86="",$C86=""),"",$C86*INDEX(Simulador!$F$7:$F$232,MATCH($B86,Simulador!$A$7:$A$232,0)))</f>
        <v/>
      </c>
      <c r="M86" s="13" t="str">
        <f aca="false">IF(G86="","",G86*$B$3)</f>
        <v/>
      </c>
      <c r="N86" s="35" t="str">
        <f aca="false">IF(OR(G86="",J86=""),"",G86+IF(I86="",0,I86)-J86-K86-L86-M86)</f>
        <v/>
      </c>
      <c r="O86" s="12" t="str">
        <f aca="false">IF(OR(N86="",G86=0,G86=""),"",N86/G86)</f>
        <v/>
      </c>
      <c r="P86" s="22" t="str">
        <f aca="false">IF(O86="","",IF(O86&lt;0,"PREJUÍZO",IF(O86&lt;0.1,"CRÍTICO (&lt;10%)",IF(O86&lt;0.15,"ABAIXO DA META (10-15%)",IF(O86&lt;=0.2,"DENTRO DA META (15-20%)","ACIMA DA META (&gt;20%)")))))</f>
        <v/>
      </c>
      <c r="Q86" s="19"/>
      <c r="R86" s="19"/>
    </row>
    <row r="87" customFormat="false" ht="15" hidden="false" customHeight="true" outlineLevel="0" collapsed="false">
      <c r="A87" s="32"/>
      <c r="B87" s="19"/>
      <c r="C87" s="19"/>
      <c r="D87" s="19"/>
      <c r="E87" s="20" t="str">
        <f aca="false">IF($B87="","",INDEX(Simulador!$D$7:$D$232,MATCH($B87,Simulador!$A$7:$A$232,0)))</f>
        <v/>
      </c>
      <c r="F87" s="20"/>
      <c r="G87" s="13" t="str">
        <f aca="false">IF(OR($B87="",$C87=""),"",$C87*E87-IF(F87="",0,F87))</f>
        <v/>
      </c>
      <c r="H87" s="8" t="str">
        <f aca="false">IF($B87="","",INDEX(Simulador!$B$7:$B$232,MATCH($B87,Simulador!$A$7:$A$232,0)))</f>
        <v/>
      </c>
      <c r="I87" s="13" t="str">
        <f aca="false">IF(OR(H87="",$D87=""),"",INDEX(Ref_Frete!$B$2:$G$54,MATCH($D87,Ref_Frete!$A$2:$A$54,0),IF(H87="Pequenos",2,IF(H87="Medios",4,6))))</f>
        <v/>
      </c>
      <c r="J87" s="20"/>
      <c r="K87" s="20" t="str">
        <f aca="false">IF(G87="","",ROUND($D$3*(G87+IF(I87="",0,I87)),2))</f>
        <v/>
      </c>
      <c r="L87" s="13" t="str">
        <f aca="false">IF(OR($B87="",$C87=""),"",$C87*INDEX(Simulador!$F$7:$F$232,MATCH($B87,Simulador!$A$7:$A$232,0)))</f>
        <v/>
      </c>
      <c r="M87" s="13" t="str">
        <f aca="false">IF(G87="","",G87*$B$3)</f>
        <v/>
      </c>
      <c r="N87" s="35" t="str">
        <f aca="false">IF(OR(G87="",J87=""),"",G87+IF(I87="",0,I87)-J87-K87-L87-M87)</f>
        <v/>
      </c>
      <c r="O87" s="12" t="str">
        <f aca="false">IF(OR(N87="",G87=0,G87=""),"",N87/G87)</f>
        <v/>
      </c>
      <c r="P87" s="22" t="str">
        <f aca="false">IF(O87="","",IF(O87&lt;0,"PREJUÍZO",IF(O87&lt;0.1,"CRÍTICO (&lt;10%)",IF(O87&lt;0.15,"ABAIXO DA META (10-15%)",IF(O87&lt;=0.2,"DENTRO DA META (15-20%)","ACIMA DA META (&gt;20%)")))))</f>
        <v/>
      </c>
      <c r="Q87" s="19"/>
      <c r="R87" s="19"/>
    </row>
    <row r="88" customFormat="false" ht="15" hidden="false" customHeight="true" outlineLevel="0" collapsed="false">
      <c r="A88" s="32"/>
      <c r="B88" s="19"/>
      <c r="C88" s="19"/>
      <c r="D88" s="19"/>
      <c r="E88" s="20" t="str">
        <f aca="false">IF($B88="","",INDEX(Simulador!$D$7:$D$232,MATCH($B88,Simulador!$A$7:$A$232,0)))</f>
        <v/>
      </c>
      <c r="F88" s="20"/>
      <c r="G88" s="13" t="str">
        <f aca="false">IF(OR($B88="",$C88=""),"",$C88*E88-IF(F88="",0,F88))</f>
        <v/>
      </c>
      <c r="H88" s="8" t="str">
        <f aca="false">IF($B88="","",INDEX(Simulador!$B$7:$B$232,MATCH($B88,Simulador!$A$7:$A$232,0)))</f>
        <v/>
      </c>
      <c r="I88" s="13" t="str">
        <f aca="false">IF(OR(H88="",$D88=""),"",INDEX(Ref_Frete!$B$2:$G$54,MATCH($D88,Ref_Frete!$A$2:$A$54,0),IF(H88="Pequenos",2,IF(H88="Medios",4,6))))</f>
        <v/>
      </c>
      <c r="J88" s="20"/>
      <c r="K88" s="20" t="str">
        <f aca="false">IF(G88="","",ROUND($D$3*(G88+IF(I88="",0,I88)),2))</f>
        <v/>
      </c>
      <c r="L88" s="13" t="str">
        <f aca="false">IF(OR($B88="",$C88=""),"",$C88*INDEX(Simulador!$F$7:$F$232,MATCH($B88,Simulador!$A$7:$A$232,0)))</f>
        <v/>
      </c>
      <c r="M88" s="13" t="str">
        <f aca="false">IF(G88="","",G88*$B$3)</f>
        <v/>
      </c>
      <c r="N88" s="35" t="str">
        <f aca="false">IF(OR(G88="",J88=""),"",G88+IF(I88="",0,I88)-J88-K88-L88-M88)</f>
        <v/>
      </c>
      <c r="O88" s="12" t="str">
        <f aca="false">IF(OR(N88="",G88=0,G88=""),"",N88/G88)</f>
        <v/>
      </c>
      <c r="P88" s="22" t="str">
        <f aca="false">IF(O88="","",IF(O88&lt;0,"PREJUÍZO",IF(O88&lt;0.1,"CRÍTICO (&lt;10%)",IF(O88&lt;0.15,"ABAIXO DA META (10-15%)",IF(O88&lt;=0.2,"DENTRO DA META (15-20%)","ACIMA DA META (&gt;20%)")))))</f>
        <v/>
      </c>
      <c r="Q88" s="19"/>
      <c r="R88" s="19"/>
    </row>
    <row r="89" customFormat="false" ht="15" hidden="false" customHeight="true" outlineLevel="0" collapsed="false">
      <c r="A89" s="32"/>
      <c r="B89" s="19"/>
      <c r="C89" s="19"/>
      <c r="D89" s="19"/>
      <c r="E89" s="20" t="str">
        <f aca="false">IF($B89="","",INDEX(Simulador!$D$7:$D$232,MATCH($B89,Simulador!$A$7:$A$232,0)))</f>
        <v/>
      </c>
      <c r="F89" s="20"/>
      <c r="G89" s="13" t="str">
        <f aca="false">IF(OR($B89="",$C89=""),"",$C89*E89-IF(F89="",0,F89))</f>
        <v/>
      </c>
      <c r="H89" s="8" t="str">
        <f aca="false">IF($B89="","",INDEX(Simulador!$B$7:$B$232,MATCH($B89,Simulador!$A$7:$A$232,0)))</f>
        <v/>
      </c>
      <c r="I89" s="13" t="str">
        <f aca="false">IF(OR(H89="",$D89=""),"",INDEX(Ref_Frete!$B$2:$G$54,MATCH($D89,Ref_Frete!$A$2:$A$54,0),IF(H89="Pequenos",2,IF(H89="Medios",4,6))))</f>
        <v/>
      </c>
      <c r="J89" s="20"/>
      <c r="K89" s="20" t="str">
        <f aca="false">IF(G89="","",ROUND($D$3*(G89+IF(I89="",0,I89)),2))</f>
        <v/>
      </c>
      <c r="L89" s="13" t="str">
        <f aca="false">IF(OR($B89="",$C89=""),"",$C89*INDEX(Simulador!$F$7:$F$232,MATCH($B89,Simulador!$A$7:$A$232,0)))</f>
        <v/>
      </c>
      <c r="M89" s="13" t="str">
        <f aca="false">IF(G89="","",G89*$B$3)</f>
        <v/>
      </c>
      <c r="N89" s="35" t="str">
        <f aca="false">IF(OR(G89="",J89=""),"",G89+IF(I89="",0,I89)-J89-K89-L89-M89)</f>
        <v/>
      </c>
      <c r="O89" s="12" t="str">
        <f aca="false">IF(OR(N89="",G89=0,G89=""),"",N89/G89)</f>
        <v/>
      </c>
      <c r="P89" s="22" t="str">
        <f aca="false">IF(O89="","",IF(O89&lt;0,"PREJUÍZO",IF(O89&lt;0.1,"CRÍTICO (&lt;10%)",IF(O89&lt;0.15,"ABAIXO DA META (10-15%)",IF(O89&lt;=0.2,"DENTRO DA META (15-20%)","ACIMA DA META (&gt;20%)")))))</f>
        <v/>
      </c>
      <c r="Q89" s="19"/>
      <c r="R89" s="19"/>
    </row>
    <row r="90" customFormat="false" ht="15" hidden="false" customHeight="true" outlineLevel="0" collapsed="false">
      <c r="A90" s="32"/>
      <c r="B90" s="19"/>
      <c r="C90" s="19"/>
      <c r="D90" s="19"/>
      <c r="E90" s="20" t="str">
        <f aca="false">IF($B90="","",INDEX(Simulador!$D$7:$D$232,MATCH($B90,Simulador!$A$7:$A$232,0)))</f>
        <v/>
      </c>
      <c r="F90" s="20"/>
      <c r="G90" s="13" t="str">
        <f aca="false">IF(OR($B90="",$C90=""),"",$C90*E90-IF(F90="",0,F90))</f>
        <v/>
      </c>
      <c r="H90" s="8" t="str">
        <f aca="false">IF($B90="","",INDEX(Simulador!$B$7:$B$232,MATCH($B90,Simulador!$A$7:$A$232,0)))</f>
        <v/>
      </c>
      <c r="I90" s="13" t="str">
        <f aca="false">IF(OR(H90="",$D90=""),"",INDEX(Ref_Frete!$B$2:$G$54,MATCH($D90,Ref_Frete!$A$2:$A$54,0),IF(H90="Pequenos",2,IF(H90="Medios",4,6))))</f>
        <v/>
      </c>
      <c r="J90" s="20"/>
      <c r="K90" s="20" t="str">
        <f aca="false">IF(G90="","",ROUND($D$3*(G90+IF(I90="",0,I90)),2))</f>
        <v/>
      </c>
      <c r="L90" s="13" t="str">
        <f aca="false">IF(OR($B90="",$C90=""),"",$C90*INDEX(Simulador!$F$7:$F$232,MATCH($B90,Simulador!$A$7:$A$232,0)))</f>
        <v/>
      </c>
      <c r="M90" s="13" t="str">
        <f aca="false">IF(G90="","",G90*$B$3)</f>
        <v/>
      </c>
      <c r="N90" s="35" t="str">
        <f aca="false">IF(OR(G90="",J90=""),"",G90+IF(I90="",0,I90)-J90-K90-L90-M90)</f>
        <v/>
      </c>
      <c r="O90" s="12" t="str">
        <f aca="false">IF(OR(N90="",G90=0,G90=""),"",N90/G90)</f>
        <v/>
      </c>
      <c r="P90" s="22" t="str">
        <f aca="false">IF(O90="","",IF(O90&lt;0,"PREJUÍZO",IF(O90&lt;0.1,"CRÍTICO (&lt;10%)",IF(O90&lt;0.15,"ABAIXO DA META (10-15%)",IF(O90&lt;=0.2,"DENTRO DA META (15-20%)","ACIMA DA META (&gt;20%)")))))</f>
        <v/>
      </c>
      <c r="Q90" s="19"/>
      <c r="R90" s="19"/>
    </row>
    <row r="91" customFormat="false" ht="15" hidden="false" customHeight="true" outlineLevel="0" collapsed="false">
      <c r="A91" s="32"/>
      <c r="B91" s="19"/>
      <c r="C91" s="19"/>
      <c r="D91" s="19"/>
      <c r="E91" s="20" t="str">
        <f aca="false">IF($B91="","",INDEX(Simulador!$D$7:$D$232,MATCH($B91,Simulador!$A$7:$A$232,0)))</f>
        <v/>
      </c>
      <c r="F91" s="20"/>
      <c r="G91" s="13" t="str">
        <f aca="false">IF(OR($B91="",$C91=""),"",$C91*E91-IF(F91="",0,F91))</f>
        <v/>
      </c>
      <c r="H91" s="8" t="str">
        <f aca="false">IF($B91="","",INDEX(Simulador!$B$7:$B$232,MATCH($B91,Simulador!$A$7:$A$232,0)))</f>
        <v/>
      </c>
      <c r="I91" s="13" t="str">
        <f aca="false">IF(OR(H91="",$D91=""),"",INDEX(Ref_Frete!$B$2:$G$54,MATCH($D91,Ref_Frete!$A$2:$A$54,0),IF(H91="Pequenos",2,IF(H91="Medios",4,6))))</f>
        <v/>
      </c>
      <c r="J91" s="20"/>
      <c r="K91" s="20" t="str">
        <f aca="false">IF(G91="","",ROUND($D$3*(G91+IF(I91="",0,I91)),2))</f>
        <v/>
      </c>
      <c r="L91" s="13" t="str">
        <f aca="false">IF(OR($B91="",$C91=""),"",$C91*INDEX(Simulador!$F$7:$F$232,MATCH($B91,Simulador!$A$7:$A$232,0)))</f>
        <v/>
      </c>
      <c r="M91" s="13" t="str">
        <f aca="false">IF(G91="","",G91*$B$3)</f>
        <v/>
      </c>
      <c r="N91" s="35" t="str">
        <f aca="false">IF(OR(G91="",J91=""),"",G91+IF(I91="",0,I91)-J91-K91-L91-M91)</f>
        <v/>
      </c>
      <c r="O91" s="12" t="str">
        <f aca="false">IF(OR(N91="",G91=0,G91=""),"",N91/G91)</f>
        <v/>
      </c>
      <c r="P91" s="22" t="str">
        <f aca="false">IF(O91="","",IF(O91&lt;0,"PREJUÍZO",IF(O91&lt;0.1,"CRÍTICO (&lt;10%)",IF(O91&lt;0.15,"ABAIXO DA META (10-15%)",IF(O91&lt;=0.2,"DENTRO DA META (15-20%)","ACIMA DA META (&gt;20%)")))))</f>
        <v/>
      </c>
      <c r="Q91" s="19"/>
      <c r="R91" s="19"/>
    </row>
    <row r="92" customFormat="false" ht="15" hidden="false" customHeight="true" outlineLevel="0" collapsed="false">
      <c r="A92" s="32"/>
      <c r="B92" s="19"/>
      <c r="C92" s="19"/>
      <c r="D92" s="19"/>
      <c r="E92" s="20" t="str">
        <f aca="false">IF($B92="","",INDEX(Simulador!$D$7:$D$232,MATCH($B92,Simulador!$A$7:$A$232,0)))</f>
        <v/>
      </c>
      <c r="F92" s="20"/>
      <c r="G92" s="13" t="str">
        <f aca="false">IF(OR($B92="",$C92=""),"",$C92*E92-IF(F92="",0,F92))</f>
        <v/>
      </c>
      <c r="H92" s="8" t="str">
        <f aca="false">IF($B92="","",INDEX(Simulador!$B$7:$B$232,MATCH($B92,Simulador!$A$7:$A$232,0)))</f>
        <v/>
      </c>
      <c r="I92" s="13" t="str">
        <f aca="false">IF(OR(H92="",$D92=""),"",INDEX(Ref_Frete!$B$2:$G$54,MATCH($D92,Ref_Frete!$A$2:$A$54,0),IF(H92="Pequenos",2,IF(H92="Medios",4,6))))</f>
        <v/>
      </c>
      <c r="J92" s="20"/>
      <c r="K92" s="20" t="str">
        <f aca="false">IF(G92="","",ROUND($D$3*(G92+IF(I92="",0,I92)),2))</f>
        <v/>
      </c>
      <c r="L92" s="13" t="str">
        <f aca="false">IF(OR($B92="",$C92=""),"",$C92*INDEX(Simulador!$F$7:$F$232,MATCH($B92,Simulador!$A$7:$A$232,0)))</f>
        <v/>
      </c>
      <c r="M92" s="13" t="str">
        <f aca="false">IF(G92="","",G92*$B$3)</f>
        <v/>
      </c>
      <c r="N92" s="35" t="str">
        <f aca="false">IF(OR(G92="",J92=""),"",G92+IF(I92="",0,I92)-J92-K92-L92-M92)</f>
        <v/>
      </c>
      <c r="O92" s="12" t="str">
        <f aca="false">IF(OR(N92="",G92=0,G92=""),"",N92/G92)</f>
        <v/>
      </c>
      <c r="P92" s="22" t="str">
        <f aca="false">IF(O92="","",IF(O92&lt;0,"PREJUÍZO",IF(O92&lt;0.1,"CRÍTICO (&lt;10%)",IF(O92&lt;0.15,"ABAIXO DA META (10-15%)",IF(O92&lt;=0.2,"DENTRO DA META (15-20%)","ACIMA DA META (&gt;20%)")))))</f>
        <v/>
      </c>
      <c r="Q92" s="19"/>
      <c r="R92" s="19"/>
    </row>
    <row r="93" customFormat="false" ht="15" hidden="false" customHeight="true" outlineLevel="0" collapsed="false">
      <c r="A93" s="32"/>
      <c r="B93" s="19"/>
      <c r="C93" s="19"/>
      <c r="D93" s="19"/>
      <c r="E93" s="20" t="str">
        <f aca="false">IF($B93="","",INDEX(Simulador!$D$7:$D$232,MATCH($B93,Simulador!$A$7:$A$232,0)))</f>
        <v/>
      </c>
      <c r="F93" s="20"/>
      <c r="G93" s="13" t="str">
        <f aca="false">IF(OR($B93="",$C93=""),"",$C93*E93-IF(F93="",0,F93))</f>
        <v/>
      </c>
      <c r="H93" s="8" t="str">
        <f aca="false">IF($B93="","",INDEX(Simulador!$B$7:$B$232,MATCH($B93,Simulador!$A$7:$A$232,0)))</f>
        <v/>
      </c>
      <c r="I93" s="13" t="str">
        <f aca="false">IF(OR(H93="",$D93=""),"",INDEX(Ref_Frete!$B$2:$G$54,MATCH($D93,Ref_Frete!$A$2:$A$54,0),IF(H93="Pequenos",2,IF(H93="Medios",4,6))))</f>
        <v/>
      </c>
      <c r="J93" s="20"/>
      <c r="K93" s="20" t="str">
        <f aca="false">IF(G93="","",ROUND($D$3*(G93+IF(I93="",0,I93)),2))</f>
        <v/>
      </c>
      <c r="L93" s="13" t="str">
        <f aca="false">IF(OR($B93="",$C93=""),"",$C93*INDEX(Simulador!$F$7:$F$232,MATCH($B93,Simulador!$A$7:$A$232,0)))</f>
        <v/>
      </c>
      <c r="M93" s="13" t="str">
        <f aca="false">IF(G93="","",G93*$B$3)</f>
        <v/>
      </c>
      <c r="N93" s="35" t="str">
        <f aca="false">IF(OR(G93="",J93=""),"",G93+IF(I93="",0,I93)-J93-K93-L93-M93)</f>
        <v/>
      </c>
      <c r="O93" s="12" t="str">
        <f aca="false">IF(OR(N93="",G93=0,G93=""),"",N93/G93)</f>
        <v/>
      </c>
      <c r="P93" s="22" t="str">
        <f aca="false">IF(O93="","",IF(O93&lt;0,"PREJUÍZO",IF(O93&lt;0.1,"CRÍTICO (&lt;10%)",IF(O93&lt;0.15,"ABAIXO DA META (10-15%)",IF(O93&lt;=0.2,"DENTRO DA META (15-20%)","ACIMA DA META (&gt;20%)")))))</f>
        <v/>
      </c>
      <c r="Q93" s="19"/>
      <c r="R93" s="19"/>
    </row>
    <row r="94" customFormat="false" ht="15" hidden="false" customHeight="true" outlineLevel="0" collapsed="false">
      <c r="A94" s="32"/>
      <c r="B94" s="19"/>
      <c r="C94" s="19"/>
      <c r="D94" s="19"/>
      <c r="E94" s="20" t="str">
        <f aca="false">IF($B94="","",INDEX(Simulador!$D$7:$D$232,MATCH($B94,Simulador!$A$7:$A$232,0)))</f>
        <v/>
      </c>
      <c r="F94" s="20"/>
      <c r="G94" s="13" t="str">
        <f aca="false">IF(OR($B94="",$C94=""),"",$C94*E94-IF(F94="",0,F94))</f>
        <v/>
      </c>
      <c r="H94" s="8" t="str">
        <f aca="false">IF($B94="","",INDEX(Simulador!$B$7:$B$232,MATCH($B94,Simulador!$A$7:$A$232,0)))</f>
        <v/>
      </c>
      <c r="I94" s="13" t="str">
        <f aca="false">IF(OR(H94="",$D94=""),"",INDEX(Ref_Frete!$B$2:$G$54,MATCH($D94,Ref_Frete!$A$2:$A$54,0),IF(H94="Pequenos",2,IF(H94="Medios",4,6))))</f>
        <v/>
      </c>
      <c r="J94" s="20"/>
      <c r="K94" s="20" t="str">
        <f aca="false">IF(G94="","",ROUND($D$3*(G94+IF(I94="",0,I94)),2))</f>
        <v/>
      </c>
      <c r="L94" s="13" t="str">
        <f aca="false">IF(OR($B94="",$C94=""),"",$C94*INDEX(Simulador!$F$7:$F$232,MATCH($B94,Simulador!$A$7:$A$232,0)))</f>
        <v/>
      </c>
      <c r="M94" s="13" t="str">
        <f aca="false">IF(G94="","",G94*$B$3)</f>
        <v/>
      </c>
      <c r="N94" s="35" t="str">
        <f aca="false">IF(OR(G94="",J94=""),"",G94+IF(I94="",0,I94)-J94-K94-L94-M94)</f>
        <v/>
      </c>
      <c r="O94" s="12" t="str">
        <f aca="false">IF(OR(N94="",G94=0,G94=""),"",N94/G94)</f>
        <v/>
      </c>
      <c r="P94" s="22" t="str">
        <f aca="false">IF(O94="","",IF(O94&lt;0,"PREJUÍZO",IF(O94&lt;0.1,"CRÍTICO (&lt;10%)",IF(O94&lt;0.15,"ABAIXO DA META (10-15%)",IF(O94&lt;=0.2,"DENTRO DA META (15-20%)","ACIMA DA META (&gt;20%)")))))</f>
        <v/>
      </c>
      <c r="Q94" s="19"/>
      <c r="R94" s="19"/>
    </row>
    <row r="95" customFormat="false" ht="15" hidden="false" customHeight="true" outlineLevel="0" collapsed="false">
      <c r="A95" s="32"/>
      <c r="B95" s="19"/>
      <c r="C95" s="19"/>
      <c r="D95" s="19"/>
      <c r="E95" s="20" t="str">
        <f aca="false">IF($B95="","",INDEX(Simulador!$D$7:$D$232,MATCH($B95,Simulador!$A$7:$A$232,0)))</f>
        <v/>
      </c>
      <c r="F95" s="20"/>
      <c r="G95" s="13" t="str">
        <f aca="false">IF(OR($B95="",$C95=""),"",$C95*E95-IF(F95="",0,F95))</f>
        <v/>
      </c>
      <c r="H95" s="8" t="str">
        <f aca="false">IF($B95="","",INDEX(Simulador!$B$7:$B$232,MATCH($B95,Simulador!$A$7:$A$232,0)))</f>
        <v/>
      </c>
      <c r="I95" s="13" t="str">
        <f aca="false">IF(OR(H95="",$D95=""),"",INDEX(Ref_Frete!$B$2:$G$54,MATCH($D95,Ref_Frete!$A$2:$A$54,0),IF(H95="Pequenos",2,IF(H95="Medios",4,6))))</f>
        <v/>
      </c>
      <c r="J95" s="20"/>
      <c r="K95" s="20" t="str">
        <f aca="false">IF(G95="","",ROUND($D$3*(G95+IF(I95="",0,I95)),2))</f>
        <v/>
      </c>
      <c r="L95" s="13" t="str">
        <f aca="false">IF(OR($B95="",$C95=""),"",$C95*INDEX(Simulador!$F$7:$F$232,MATCH($B95,Simulador!$A$7:$A$232,0)))</f>
        <v/>
      </c>
      <c r="M95" s="13" t="str">
        <f aca="false">IF(G95="","",G95*$B$3)</f>
        <v/>
      </c>
      <c r="N95" s="35" t="str">
        <f aca="false">IF(OR(G95="",J95=""),"",G95+IF(I95="",0,I95)-J95-K95-L95-M95)</f>
        <v/>
      </c>
      <c r="O95" s="12" t="str">
        <f aca="false">IF(OR(N95="",G95=0,G95=""),"",N95/G95)</f>
        <v/>
      </c>
      <c r="P95" s="22" t="str">
        <f aca="false">IF(O95="","",IF(O95&lt;0,"PREJUÍZO",IF(O95&lt;0.1,"CRÍTICO (&lt;10%)",IF(O95&lt;0.15,"ABAIXO DA META (10-15%)",IF(O95&lt;=0.2,"DENTRO DA META (15-20%)","ACIMA DA META (&gt;20%)")))))</f>
        <v/>
      </c>
      <c r="Q95" s="19"/>
      <c r="R95" s="19"/>
    </row>
    <row r="96" customFormat="false" ht="15" hidden="false" customHeight="true" outlineLevel="0" collapsed="false">
      <c r="A96" s="32"/>
      <c r="B96" s="19"/>
      <c r="C96" s="19"/>
      <c r="D96" s="19"/>
      <c r="E96" s="20" t="str">
        <f aca="false">IF($B96="","",INDEX(Simulador!$D$7:$D$232,MATCH($B96,Simulador!$A$7:$A$232,0)))</f>
        <v/>
      </c>
      <c r="F96" s="20"/>
      <c r="G96" s="13" t="str">
        <f aca="false">IF(OR($B96="",$C96=""),"",$C96*E96-IF(F96="",0,F96))</f>
        <v/>
      </c>
      <c r="H96" s="8" t="str">
        <f aca="false">IF($B96="","",INDEX(Simulador!$B$7:$B$232,MATCH($B96,Simulador!$A$7:$A$232,0)))</f>
        <v/>
      </c>
      <c r="I96" s="13" t="str">
        <f aca="false">IF(OR(H96="",$D96=""),"",INDEX(Ref_Frete!$B$2:$G$54,MATCH($D96,Ref_Frete!$A$2:$A$54,0),IF(H96="Pequenos",2,IF(H96="Medios",4,6))))</f>
        <v/>
      </c>
      <c r="J96" s="20"/>
      <c r="K96" s="20" t="str">
        <f aca="false">IF(G96="","",ROUND($D$3*(G96+IF(I96="",0,I96)),2))</f>
        <v/>
      </c>
      <c r="L96" s="13" t="str">
        <f aca="false">IF(OR($B96="",$C96=""),"",$C96*INDEX(Simulador!$F$7:$F$232,MATCH($B96,Simulador!$A$7:$A$232,0)))</f>
        <v/>
      </c>
      <c r="M96" s="13" t="str">
        <f aca="false">IF(G96="","",G96*$B$3)</f>
        <v/>
      </c>
      <c r="N96" s="35" t="str">
        <f aca="false">IF(OR(G96="",J96=""),"",G96+IF(I96="",0,I96)-J96-K96-L96-M96)</f>
        <v/>
      </c>
      <c r="O96" s="12" t="str">
        <f aca="false">IF(OR(N96="",G96=0,G96=""),"",N96/G96)</f>
        <v/>
      </c>
      <c r="P96" s="22" t="str">
        <f aca="false">IF(O96="","",IF(O96&lt;0,"PREJUÍZO",IF(O96&lt;0.1,"CRÍTICO (&lt;10%)",IF(O96&lt;0.15,"ABAIXO DA META (10-15%)",IF(O96&lt;=0.2,"DENTRO DA META (15-20%)","ACIMA DA META (&gt;20%)")))))</f>
        <v/>
      </c>
      <c r="Q96" s="19"/>
      <c r="R96" s="19"/>
    </row>
    <row r="97" customFormat="false" ht="15" hidden="false" customHeight="true" outlineLevel="0" collapsed="false">
      <c r="A97" s="32"/>
      <c r="B97" s="19"/>
      <c r="C97" s="19"/>
      <c r="D97" s="19"/>
      <c r="E97" s="20" t="str">
        <f aca="false">IF($B97="","",INDEX(Simulador!$D$7:$D$232,MATCH($B97,Simulador!$A$7:$A$232,0)))</f>
        <v/>
      </c>
      <c r="F97" s="20"/>
      <c r="G97" s="13" t="str">
        <f aca="false">IF(OR($B97="",$C97=""),"",$C97*E97-IF(F97="",0,F97))</f>
        <v/>
      </c>
      <c r="H97" s="8" t="str">
        <f aca="false">IF($B97="","",INDEX(Simulador!$B$7:$B$232,MATCH($B97,Simulador!$A$7:$A$232,0)))</f>
        <v/>
      </c>
      <c r="I97" s="13" t="str">
        <f aca="false">IF(OR(H97="",$D97=""),"",INDEX(Ref_Frete!$B$2:$G$54,MATCH($D97,Ref_Frete!$A$2:$A$54,0),IF(H97="Pequenos",2,IF(H97="Medios",4,6))))</f>
        <v/>
      </c>
      <c r="J97" s="20"/>
      <c r="K97" s="20" t="str">
        <f aca="false">IF(G97="","",ROUND($D$3*(G97+IF(I97="",0,I97)),2))</f>
        <v/>
      </c>
      <c r="L97" s="13" t="str">
        <f aca="false">IF(OR($B97="",$C97=""),"",$C97*INDEX(Simulador!$F$7:$F$232,MATCH($B97,Simulador!$A$7:$A$232,0)))</f>
        <v/>
      </c>
      <c r="M97" s="13" t="str">
        <f aca="false">IF(G97="","",G97*$B$3)</f>
        <v/>
      </c>
      <c r="N97" s="35" t="str">
        <f aca="false">IF(OR(G97="",J97=""),"",G97+IF(I97="",0,I97)-J97-K97-L97-M97)</f>
        <v/>
      </c>
      <c r="O97" s="12" t="str">
        <f aca="false">IF(OR(N97="",G97=0,G97=""),"",N97/G97)</f>
        <v/>
      </c>
      <c r="P97" s="22" t="str">
        <f aca="false">IF(O97="","",IF(O97&lt;0,"PREJUÍZO",IF(O97&lt;0.1,"CRÍTICO (&lt;10%)",IF(O97&lt;0.15,"ABAIXO DA META (10-15%)",IF(O97&lt;=0.2,"DENTRO DA META (15-20%)","ACIMA DA META (&gt;20%)")))))</f>
        <v/>
      </c>
      <c r="Q97" s="19"/>
      <c r="R97" s="19"/>
    </row>
    <row r="98" customFormat="false" ht="15" hidden="false" customHeight="true" outlineLevel="0" collapsed="false">
      <c r="A98" s="32"/>
      <c r="B98" s="19"/>
      <c r="C98" s="19"/>
      <c r="D98" s="19"/>
      <c r="E98" s="20" t="str">
        <f aca="false">IF($B98="","",INDEX(Simulador!$D$7:$D$232,MATCH($B98,Simulador!$A$7:$A$232,0)))</f>
        <v/>
      </c>
      <c r="F98" s="20"/>
      <c r="G98" s="13" t="str">
        <f aca="false">IF(OR($B98="",$C98=""),"",$C98*E98-IF(F98="",0,F98))</f>
        <v/>
      </c>
      <c r="H98" s="8" t="str">
        <f aca="false">IF($B98="","",INDEX(Simulador!$B$7:$B$232,MATCH($B98,Simulador!$A$7:$A$232,0)))</f>
        <v/>
      </c>
      <c r="I98" s="13" t="str">
        <f aca="false">IF(OR(H98="",$D98=""),"",INDEX(Ref_Frete!$B$2:$G$54,MATCH($D98,Ref_Frete!$A$2:$A$54,0),IF(H98="Pequenos",2,IF(H98="Medios",4,6))))</f>
        <v/>
      </c>
      <c r="J98" s="20"/>
      <c r="K98" s="20" t="str">
        <f aca="false">IF(G98="","",ROUND($D$3*(G98+IF(I98="",0,I98)),2))</f>
        <v/>
      </c>
      <c r="L98" s="13" t="str">
        <f aca="false">IF(OR($B98="",$C98=""),"",$C98*INDEX(Simulador!$F$7:$F$232,MATCH($B98,Simulador!$A$7:$A$232,0)))</f>
        <v/>
      </c>
      <c r="M98" s="13" t="str">
        <f aca="false">IF(G98="","",G98*$B$3)</f>
        <v/>
      </c>
      <c r="N98" s="35" t="str">
        <f aca="false">IF(OR(G98="",J98=""),"",G98+IF(I98="",0,I98)-J98-K98-L98-M98)</f>
        <v/>
      </c>
      <c r="O98" s="12" t="str">
        <f aca="false">IF(OR(N98="",G98=0,G98=""),"",N98/G98)</f>
        <v/>
      </c>
      <c r="P98" s="22" t="str">
        <f aca="false">IF(O98="","",IF(O98&lt;0,"PREJUÍZO",IF(O98&lt;0.1,"CRÍTICO (&lt;10%)",IF(O98&lt;0.15,"ABAIXO DA META (10-15%)",IF(O98&lt;=0.2,"DENTRO DA META (15-20%)","ACIMA DA META (&gt;20%)")))))</f>
        <v/>
      </c>
      <c r="Q98" s="19"/>
      <c r="R98" s="19"/>
    </row>
    <row r="99" customFormat="false" ht="15" hidden="false" customHeight="true" outlineLevel="0" collapsed="false">
      <c r="A99" s="32"/>
      <c r="B99" s="19"/>
      <c r="C99" s="19"/>
      <c r="D99" s="19"/>
      <c r="E99" s="20" t="str">
        <f aca="false">IF($B99="","",INDEX(Simulador!$D$7:$D$232,MATCH($B99,Simulador!$A$7:$A$232,0)))</f>
        <v/>
      </c>
      <c r="F99" s="20"/>
      <c r="G99" s="13" t="str">
        <f aca="false">IF(OR($B99="",$C99=""),"",$C99*E99-IF(F99="",0,F99))</f>
        <v/>
      </c>
      <c r="H99" s="8" t="str">
        <f aca="false">IF($B99="","",INDEX(Simulador!$B$7:$B$232,MATCH($B99,Simulador!$A$7:$A$232,0)))</f>
        <v/>
      </c>
      <c r="I99" s="13" t="str">
        <f aca="false">IF(OR(H99="",$D99=""),"",INDEX(Ref_Frete!$B$2:$G$54,MATCH($D99,Ref_Frete!$A$2:$A$54,0),IF(H99="Pequenos",2,IF(H99="Medios",4,6))))</f>
        <v/>
      </c>
      <c r="J99" s="20"/>
      <c r="K99" s="20" t="str">
        <f aca="false">IF(G99="","",ROUND($D$3*(G99+IF(I99="",0,I99)),2))</f>
        <v/>
      </c>
      <c r="L99" s="13" t="str">
        <f aca="false">IF(OR($B99="",$C99=""),"",$C99*INDEX(Simulador!$F$7:$F$232,MATCH($B99,Simulador!$A$7:$A$232,0)))</f>
        <v/>
      </c>
      <c r="M99" s="13" t="str">
        <f aca="false">IF(G99="","",G99*$B$3)</f>
        <v/>
      </c>
      <c r="N99" s="35" t="str">
        <f aca="false">IF(OR(G99="",J99=""),"",G99+IF(I99="",0,I99)-J99-K99-L99-M99)</f>
        <v/>
      </c>
      <c r="O99" s="12" t="str">
        <f aca="false">IF(OR(N99="",G99=0,G99=""),"",N99/G99)</f>
        <v/>
      </c>
      <c r="P99" s="22" t="str">
        <f aca="false">IF(O99="","",IF(O99&lt;0,"PREJUÍZO",IF(O99&lt;0.1,"CRÍTICO (&lt;10%)",IF(O99&lt;0.15,"ABAIXO DA META (10-15%)",IF(O99&lt;=0.2,"DENTRO DA META (15-20%)","ACIMA DA META (&gt;20%)")))))</f>
        <v/>
      </c>
      <c r="Q99" s="19"/>
      <c r="R99" s="19"/>
    </row>
    <row r="100" customFormat="false" ht="15" hidden="false" customHeight="true" outlineLevel="0" collapsed="false">
      <c r="A100" s="32"/>
      <c r="B100" s="19"/>
      <c r="C100" s="19"/>
      <c r="D100" s="19"/>
      <c r="E100" s="20" t="str">
        <f aca="false">IF($B100="","",INDEX(Simulador!$D$7:$D$232,MATCH($B100,Simulador!$A$7:$A$232,0)))</f>
        <v/>
      </c>
      <c r="F100" s="20"/>
      <c r="G100" s="13" t="str">
        <f aca="false">IF(OR($B100="",$C100=""),"",$C100*E100-IF(F100="",0,F100))</f>
        <v/>
      </c>
      <c r="H100" s="8" t="str">
        <f aca="false">IF($B100="","",INDEX(Simulador!$B$7:$B$232,MATCH($B100,Simulador!$A$7:$A$232,0)))</f>
        <v/>
      </c>
      <c r="I100" s="13" t="str">
        <f aca="false">IF(OR(H100="",$D100=""),"",INDEX(Ref_Frete!$B$2:$G$54,MATCH($D100,Ref_Frete!$A$2:$A$54,0),IF(H100="Pequenos",2,IF(H100="Medios",4,6))))</f>
        <v/>
      </c>
      <c r="J100" s="20"/>
      <c r="K100" s="20" t="str">
        <f aca="false">IF(G100="","",ROUND($D$3*(G100+IF(I100="",0,I100)),2))</f>
        <v/>
      </c>
      <c r="L100" s="13" t="str">
        <f aca="false">IF(OR($B100="",$C100=""),"",$C100*INDEX(Simulador!$F$7:$F$232,MATCH($B100,Simulador!$A$7:$A$232,0)))</f>
        <v/>
      </c>
      <c r="M100" s="13" t="str">
        <f aca="false">IF(G100="","",G100*$B$3)</f>
        <v/>
      </c>
      <c r="N100" s="35" t="str">
        <f aca="false">IF(OR(G100="",J100=""),"",G100+IF(I100="",0,I100)-J100-K100-L100-M100)</f>
        <v/>
      </c>
      <c r="O100" s="12" t="str">
        <f aca="false">IF(OR(N100="",G100=0,G100=""),"",N100/G100)</f>
        <v/>
      </c>
      <c r="P100" s="22" t="str">
        <f aca="false">IF(O100="","",IF(O100&lt;0,"PREJUÍZO",IF(O100&lt;0.1,"CRÍTICO (&lt;10%)",IF(O100&lt;0.15,"ABAIXO DA META (10-15%)",IF(O100&lt;=0.2,"DENTRO DA META (15-20%)","ACIMA DA META (&gt;20%)")))))</f>
        <v/>
      </c>
      <c r="Q100" s="19"/>
      <c r="R100" s="19"/>
    </row>
    <row r="101" customFormat="false" ht="15" hidden="false" customHeight="true" outlineLevel="0" collapsed="false">
      <c r="A101" s="32"/>
      <c r="B101" s="19"/>
      <c r="C101" s="19"/>
      <c r="D101" s="19"/>
      <c r="E101" s="20" t="str">
        <f aca="false">IF($B101="","",INDEX(Simulador!$D$7:$D$232,MATCH($B101,Simulador!$A$7:$A$232,0)))</f>
        <v/>
      </c>
      <c r="F101" s="20"/>
      <c r="G101" s="13" t="str">
        <f aca="false">IF(OR($B101="",$C101=""),"",$C101*E101-IF(F101="",0,F101))</f>
        <v/>
      </c>
      <c r="H101" s="8" t="str">
        <f aca="false">IF($B101="","",INDEX(Simulador!$B$7:$B$232,MATCH($B101,Simulador!$A$7:$A$232,0)))</f>
        <v/>
      </c>
      <c r="I101" s="13" t="str">
        <f aca="false">IF(OR(H101="",$D101=""),"",INDEX(Ref_Frete!$B$2:$G$54,MATCH($D101,Ref_Frete!$A$2:$A$54,0),IF(H101="Pequenos",2,IF(H101="Medios",4,6))))</f>
        <v/>
      </c>
      <c r="J101" s="20"/>
      <c r="K101" s="20" t="str">
        <f aca="false">IF(G101="","",ROUND($D$3*(G101+IF(I101="",0,I101)),2))</f>
        <v/>
      </c>
      <c r="L101" s="13" t="str">
        <f aca="false">IF(OR($B101="",$C101=""),"",$C101*INDEX(Simulador!$F$7:$F$232,MATCH($B101,Simulador!$A$7:$A$232,0)))</f>
        <v/>
      </c>
      <c r="M101" s="13" t="str">
        <f aca="false">IF(G101="","",G101*$B$3)</f>
        <v/>
      </c>
      <c r="N101" s="35" t="str">
        <f aca="false">IF(OR(G101="",J101=""),"",G101+IF(I101="",0,I101)-J101-K101-L101-M101)</f>
        <v/>
      </c>
      <c r="O101" s="12" t="str">
        <f aca="false">IF(OR(N101="",G101=0,G101=""),"",N101/G101)</f>
        <v/>
      </c>
      <c r="P101" s="22" t="str">
        <f aca="false">IF(O101="","",IF(O101&lt;0,"PREJUÍZO",IF(O101&lt;0.1,"CRÍTICO (&lt;10%)",IF(O101&lt;0.15,"ABAIXO DA META (10-15%)",IF(O101&lt;=0.2,"DENTRO DA META (15-20%)","ACIMA DA META (&gt;20%)")))))</f>
        <v/>
      </c>
      <c r="Q101" s="19"/>
      <c r="R101" s="19"/>
    </row>
    <row r="102" customFormat="false" ht="15" hidden="false" customHeight="true" outlineLevel="0" collapsed="false">
      <c r="A102" s="32"/>
      <c r="B102" s="19"/>
      <c r="C102" s="19"/>
      <c r="D102" s="19"/>
      <c r="E102" s="20" t="str">
        <f aca="false">IF($B102="","",INDEX(Simulador!$D$7:$D$232,MATCH($B102,Simulador!$A$7:$A$232,0)))</f>
        <v/>
      </c>
      <c r="F102" s="20"/>
      <c r="G102" s="13" t="str">
        <f aca="false">IF(OR($B102="",$C102=""),"",$C102*E102-IF(F102="",0,F102))</f>
        <v/>
      </c>
      <c r="H102" s="8" t="str">
        <f aca="false">IF($B102="","",INDEX(Simulador!$B$7:$B$232,MATCH($B102,Simulador!$A$7:$A$232,0)))</f>
        <v/>
      </c>
      <c r="I102" s="13" t="str">
        <f aca="false">IF(OR(H102="",$D102=""),"",INDEX(Ref_Frete!$B$2:$G$54,MATCH($D102,Ref_Frete!$A$2:$A$54,0),IF(H102="Pequenos",2,IF(H102="Medios",4,6))))</f>
        <v/>
      </c>
      <c r="J102" s="20"/>
      <c r="K102" s="20" t="str">
        <f aca="false">IF(G102="","",ROUND($D$3*(G102+IF(I102="",0,I102)),2))</f>
        <v/>
      </c>
      <c r="L102" s="13" t="str">
        <f aca="false">IF(OR($B102="",$C102=""),"",$C102*INDEX(Simulador!$F$7:$F$232,MATCH($B102,Simulador!$A$7:$A$232,0)))</f>
        <v/>
      </c>
      <c r="M102" s="13" t="str">
        <f aca="false">IF(G102="","",G102*$B$3)</f>
        <v/>
      </c>
      <c r="N102" s="35" t="str">
        <f aca="false">IF(OR(G102="",J102=""),"",G102+IF(I102="",0,I102)-J102-K102-L102-M102)</f>
        <v/>
      </c>
      <c r="O102" s="12" t="str">
        <f aca="false">IF(OR(N102="",G102=0,G102=""),"",N102/G102)</f>
        <v/>
      </c>
      <c r="P102" s="22" t="str">
        <f aca="false">IF(O102="","",IF(O102&lt;0,"PREJUÍZO",IF(O102&lt;0.1,"CRÍTICO (&lt;10%)",IF(O102&lt;0.15,"ABAIXO DA META (10-15%)",IF(O102&lt;=0.2,"DENTRO DA META (15-20%)","ACIMA DA META (&gt;20%)")))))</f>
        <v/>
      </c>
      <c r="Q102" s="19"/>
      <c r="R102" s="19"/>
    </row>
    <row r="103" customFormat="false" ht="15" hidden="false" customHeight="true" outlineLevel="0" collapsed="false">
      <c r="A103" s="32"/>
      <c r="B103" s="19"/>
      <c r="C103" s="19"/>
      <c r="D103" s="19"/>
      <c r="E103" s="20" t="str">
        <f aca="false">IF($B103="","",INDEX(Simulador!$D$7:$D$232,MATCH($B103,Simulador!$A$7:$A$232,0)))</f>
        <v/>
      </c>
      <c r="F103" s="20"/>
      <c r="G103" s="13" t="str">
        <f aca="false">IF(OR($B103="",$C103=""),"",$C103*E103-IF(F103="",0,F103))</f>
        <v/>
      </c>
      <c r="H103" s="8" t="str">
        <f aca="false">IF($B103="","",INDEX(Simulador!$B$7:$B$232,MATCH($B103,Simulador!$A$7:$A$232,0)))</f>
        <v/>
      </c>
      <c r="I103" s="13" t="str">
        <f aca="false">IF(OR(H103="",$D103=""),"",INDEX(Ref_Frete!$B$2:$G$54,MATCH($D103,Ref_Frete!$A$2:$A$54,0),IF(H103="Pequenos",2,IF(H103="Medios",4,6))))</f>
        <v/>
      </c>
      <c r="J103" s="20"/>
      <c r="K103" s="20" t="str">
        <f aca="false">IF(G103="","",ROUND($D$3*(G103+IF(I103="",0,I103)),2))</f>
        <v/>
      </c>
      <c r="L103" s="13" t="str">
        <f aca="false">IF(OR($B103="",$C103=""),"",$C103*INDEX(Simulador!$F$7:$F$232,MATCH($B103,Simulador!$A$7:$A$232,0)))</f>
        <v/>
      </c>
      <c r="M103" s="13" t="str">
        <f aca="false">IF(G103="","",G103*$B$3)</f>
        <v/>
      </c>
      <c r="N103" s="35" t="str">
        <f aca="false">IF(OR(G103="",J103=""),"",G103+IF(I103="",0,I103)-J103-K103-L103-M103)</f>
        <v/>
      </c>
      <c r="O103" s="12" t="str">
        <f aca="false">IF(OR(N103="",G103=0,G103=""),"",N103/G103)</f>
        <v/>
      </c>
      <c r="P103" s="22" t="str">
        <f aca="false">IF(O103="","",IF(O103&lt;0,"PREJUÍZO",IF(O103&lt;0.1,"CRÍTICO (&lt;10%)",IF(O103&lt;0.15,"ABAIXO DA META (10-15%)",IF(O103&lt;=0.2,"DENTRO DA META (15-20%)","ACIMA DA META (&gt;20%)")))))</f>
        <v/>
      </c>
      <c r="Q103" s="19"/>
      <c r="R103" s="19"/>
    </row>
    <row r="104" customFormat="false" ht="15" hidden="false" customHeight="true" outlineLevel="0" collapsed="false">
      <c r="A104" s="32"/>
      <c r="B104" s="19"/>
      <c r="C104" s="19"/>
      <c r="D104" s="19"/>
      <c r="E104" s="20" t="str">
        <f aca="false">IF($B104="","",INDEX(Simulador!$D$7:$D$232,MATCH($B104,Simulador!$A$7:$A$232,0)))</f>
        <v/>
      </c>
      <c r="F104" s="20"/>
      <c r="G104" s="13" t="str">
        <f aca="false">IF(OR($B104="",$C104=""),"",$C104*E104-IF(F104="",0,F104))</f>
        <v/>
      </c>
      <c r="H104" s="8" t="str">
        <f aca="false">IF($B104="","",INDEX(Simulador!$B$7:$B$232,MATCH($B104,Simulador!$A$7:$A$232,0)))</f>
        <v/>
      </c>
      <c r="I104" s="13" t="str">
        <f aca="false">IF(OR(H104="",$D104=""),"",INDEX(Ref_Frete!$B$2:$G$54,MATCH($D104,Ref_Frete!$A$2:$A$54,0),IF(H104="Pequenos",2,IF(H104="Medios",4,6))))</f>
        <v/>
      </c>
      <c r="J104" s="20"/>
      <c r="K104" s="20" t="str">
        <f aca="false">IF(G104="","",ROUND($D$3*(G104+IF(I104="",0,I104)),2))</f>
        <v/>
      </c>
      <c r="L104" s="13" t="str">
        <f aca="false">IF(OR($B104="",$C104=""),"",$C104*INDEX(Simulador!$F$7:$F$232,MATCH($B104,Simulador!$A$7:$A$232,0)))</f>
        <v/>
      </c>
      <c r="M104" s="13" t="str">
        <f aca="false">IF(G104="","",G104*$B$3)</f>
        <v/>
      </c>
      <c r="N104" s="35" t="str">
        <f aca="false">IF(OR(G104="",J104=""),"",G104+IF(I104="",0,I104)-J104-K104-L104-M104)</f>
        <v/>
      </c>
      <c r="O104" s="12" t="str">
        <f aca="false">IF(OR(N104="",G104=0,G104=""),"",N104/G104)</f>
        <v/>
      </c>
      <c r="P104" s="22" t="str">
        <f aca="false">IF(O104="","",IF(O104&lt;0,"PREJUÍZO",IF(O104&lt;0.1,"CRÍTICO (&lt;10%)",IF(O104&lt;0.15,"ABAIXO DA META (10-15%)",IF(O104&lt;=0.2,"DENTRO DA META (15-20%)","ACIMA DA META (&gt;20%)")))))</f>
        <v/>
      </c>
      <c r="Q104" s="19"/>
      <c r="R104" s="19"/>
    </row>
    <row r="105" customFormat="false" ht="15" hidden="false" customHeight="true" outlineLevel="0" collapsed="false">
      <c r="A105" s="32"/>
      <c r="B105" s="19"/>
      <c r="C105" s="19"/>
      <c r="D105" s="19"/>
      <c r="E105" s="20" t="str">
        <f aca="false">IF($B105="","",INDEX(Simulador!$D$7:$D$232,MATCH($B105,Simulador!$A$7:$A$232,0)))</f>
        <v/>
      </c>
      <c r="F105" s="20"/>
      <c r="G105" s="13" t="str">
        <f aca="false">IF(OR($B105="",$C105=""),"",$C105*E105-IF(F105="",0,F105))</f>
        <v/>
      </c>
      <c r="H105" s="8" t="str">
        <f aca="false">IF($B105="","",INDEX(Simulador!$B$7:$B$232,MATCH($B105,Simulador!$A$7:$A$232,0)))</f>
        <v/>
      </c>
      <c r="I105" s="13" t="str">
        <f aca="false">IF(OR(H105="",$D105=""),"",INDEX(Ref_Frete!$B$2:$G$54,MATCH($D105,Ref_Frete!$A$2:$A$54,0),IF(H105="Pequenos",2,IF(H105="Medios",4,6))))</f>
        <v/>
      </c>
      <c r="J105" s="20"/>
      <c r="K105" s="20" t="str">
        <f aca="false">IF(G105="","",ROUND($D$3*(G105+IF(I105="",0,I105)),2))</f>
        <v/>
      </c>
      <c r="L105" s="13" t="str">
        <f aca="false">IF(OR($B105="",$C105=""),"",$C105*INDEX(Simulador!$F$7:$F$232,MATCH($B105,Simulador!$A$7:$A$232,0)))</f>
        <v/>
      </c>
      <c r="M105" s="13" t="str">
        <f aca="false">IF(G105="","",G105*$B$3)</f>
        <v/>
      </c>
      <c r="N105" s="35" t="str">
        <f aca="false">IF(OR(G105="",J105=""),"",G105+IF(I105="",0,I105)-J105-K105-L105-M105)</f>
        <v/>
      </c>
      <c r="O105" s="12" t="str">
        <f aca="false">IF(OR(N105="",G105=0,G105=""),"",N105/G105)</f>
        <v/>
      </c>
      <c r="P105" s="22" t="str">
        <f aca="false">IF(O105="","",IF(O105&lt;0,"PREJUÍZO",IF(O105&lt;0.1,"CRÍTICO (&lt;10%)",IF(O105&lt;0.15,"ABAIXO DA META (10-15%)",IF(O105&lt;=0.2,"DENTRO DA META (15-20%)","ACIMA DA META (&gt;20%)")))))</f>
        <v/>
      </c>
      <c r="Q105" s="19"/>
      <c r="R105" s="19"/>
    </row>
    <row r="106" customFormat="false" ht="15" hidden="false" customHeight="true" outlineLevel="0" collapsed="false">
      <c r="A106" s="32"/>
      <c r="B106" s="19"/>
      <c r="C106" s="19"/>
      <c r="D106" s="19"/>
      <c r="E106" s="20" t="str">
        <f aca="false">IF($B106="","",INDEX(Simulador!$D$7:$D$232,MATCH($B106,Simulador!$A$7:$A$232,0)))</f>
        <v/>
      </c>
      <c r="F106" s="20"/>
      <c r="G106" s="13" t="str">
        <f aca="false">IF(OR($B106="",$C106=""),"",$C106*E106-IF(F106="",0,F106))</f>
        <v/>
      </c>
      <c r="H106" s="8" t="str">
        <f aca="false">IF($B106="","",INDEX(Simulador!$B$7:$B$232,MATCH($B106,Simulador!$A$7:$A$232,0)))</f>
        <v/>
      </c>
      <c r="I106" s="13" t="str">
        <f aca="false">IF(OR(H106="",$D106=""),"",INDEX(Ref_Frete!$B$2:$G$54,MATCH($D106,Ref_Frete!$A$2:$A$54,0),IF(H106="Pequenos",2,IF(H106="Medios",4,6))))</f>
        <v/>
      </c>
      <c r="J106" s="20"/>
      <c r="K106" s="20" t="str">
        <f aca="false">IF(G106="","",ROUND($D$3*(G106+IF(I106="",0,I106)),2))</f>
        <v/>
      </c>
      <c r="L106" s="13" t="str">
        <f aca="false">IF(OR($B106="",$C106=""),"",$C106*INDEX(Simulador!$F$7:$F$232,MATCH($B106,Simulador!$A$7:$A$232,0)))</f>
        <v/>
      </c>
      <c r="M106" s="13" t="str">
        <f aca="false">IF(G106="","",G106*$B$3)</f>
        <v/>
      </c>
      <c r="N106" s="35" t="str">
        <f aca="false">IF(OR(G106="",J106=""),"",G106+IF(I106="",0,I106)-J106-K106-L106-M106)</f>
        <v/>
      </c>
      <c r="O106" s="12" t="str">
        <f aca="false">IF(OR(N106="",G106=0,G106=""),"",N106/G106)</f>
        <v/>
      </c>
      <c r="P106" s="22" t="str">
        <f aca="false">IF(O106="","",IF(O106&lt;0,"PREJUÍZO",IF(O106&lt;0.1,"CRÍTICO (&lt;10%)",IF(O106&lt;0.15,"ABAIXO DA META (10-15%)",IF(O106&lt;=0.2,"DENTRO DA META (15-20%)","ACIMA DA META (&gt;20%)")))))</f>
        <v/>
      </c>
      <c r="Q106" s="19"/>
      <c r="R106" s="19"/>
    </row>
    <row r="107" customFormat="false" ht="15" hidden="false" customHeight="true" outlineLevel="0" collapsed="false">
      <c r="A107" s="32"/>
      <c r="B107" s="19"/>
      <c r="C107" s="19"/>
      <c r="D107" s="19"/>
      <c r="E107" s="20" t="str">
        <f aca="false">IF($B107="","",INDEX(Simulador!$D$7:$D$232,MATCH($B107,Simulador!$A$7:$A$232,0)))</f>
        <v/>
      </c>
      <c r="F107" s="20"/>
      <c r="G107" s="13" t="str">
        <f aca="false">IF(OR($B107="",$C107=""),"",$C107*E107-IF(F107="",0,F107))</f>
        <v/>
      </c>
      <c r="H107" s="8" t="str">
        <f aca="false">IF($B107="","",INDEX(Simulador!$B$7:$B$232,MATCH($B107,Simulador!$A$7:$A$232,0)))</f>
        <v/>
      </c>
      <c r="I107" s="13" t="str">
        <f aca="false">IF(OR(H107="",$D107=""),"",INDEX(Ref_Frete!$B$2:$G$54,MATCH($D107,Ref_Frete!$A$2:$A$54,0),IF(H107="Pequenos",2,IF(H107="Medios",4,6))))</f>
        <v/>
      </c>
      <c r="J107" s="20"/>
      <c r="K107" s="20" t="str">
        <f aca="false">IF(G107="","",ROUND($D$3*(G107+IF(I107="",0,I107)),2))</f>
        <v/>
      </c>
      <c r="L107" s="13" t="str">
        <f aca="false">IF(OR($B107="",$C107=""),"",$C107*INDEX(Simulador!$F$7:$F$232,MATCH($B107,Simulador!$A$7:$A$232,0)))</f>
        <v/>
      </c>
      <c r="M107" s="13" t="str">
        <f aca="false">IF(G107="","",G107*$B$3)</f>
        <v/>
      </c>
      <c r="N107" s="35" t="str">
        <f aca="false">IF(OR(G107="",J107=""),"",G107+IF(I107="",0,I107)-J107-K107-L107-M107)</f>
        <v/>
      </c>
      <c r="O107" s="12" t="str">
        <f aca="false">IF(OR(N107="",G107=0,G107=""),"",N107/G107)</f>
        <v/>
      </c>
      <c r="P107" s="22" t="str">
        <f aca="false">IF(O107="","",IF(O107&lt;0,"PREJUÍZO",IF(O107&lt;0.1,"CRÍTICO (&lt;10%)",IF(O107&lt;0.15,"ABAIXO DA META (10-15%)",IF(O107&lt;=0.2,"DENTRO DA META (15-20%)","ACIMA DA META (&gt;20%)")))))</f>
        <v/>
      </c>
      <c r="Q107" s="19"/>
      <c r="R107" s="19"/>
    </row>
    <row r="108" customFormat="false" ht="15" hidden="false" customHeight="true" outlineLevel="0" collapsed="false">
      <c r="A108" s="3" t="s">
        <v>249</v>
      </c>
      <c r="G108" s="39" t="n">
        <f aca="false">SUM(G6:G107)</f>
        <v>21799.32</v>
      </c>
      <c r="K108" s="39" t="n">
        <f aca="false">SUM(K6:K107)</f>
        <v>3305.76</v>
      </c>
      <c r="L108" s="39" t="n">
        <f aca="false">SUM(L6:L107)</f>
        <v>11461.51</v>
      </c>
      <c r="M108" s="39" t="n">
        <f aca="false">SUM(M6:M107)</f>
        <v>2179.932</v>
      </c>
      <c r="N108" s="39" t="n">
        <f aca="false">SUM(N6:N107)</f>
        <v>5470.458</v>
      </c>
      <c r="O108" s="40" t="n">
        <f aca="false">IF(G108=0,"",N108/G108)</f>
        <v>0.250946268048728</v>
      </c>
    </row>
    <row r="117" customFormat="false" ht="15" hidden="false" customHeight="true" outlineLevel="0" collapsed="false">
      <c r="A117" s="41"/>
    </row>
  </sheetData>
  <dataValidations count="1">
    <dataValidation allowBlank="true" errorStyle="stop" operator="between" showDropDown="false" showErrorMessage="false" showInputMessage="false" sqref="R6:R107" type="list">
      <formula1>"Ads,Orgânico,Conferir"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7" activeCellId="0" sqref="G7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4" min="4" style="1" width="38"/>
    <col collapsed="false" customWidth="true" hidden="false" outlineLevel="0" max="5" min="5" style="1" width="11"/>
    <col collapsed="false" customWidth="true" hidden="false" outlineLevel="0" max="6" min="6" style="1" width="48"/>
  </cols>
  <sheetData>
    <row r="1" customFormat="false" ht="15.75" hidden="false" customHeight="true" outlineLevel="0" collapsed="false">
      <c r="A1" s="2" t="s">
        <v>250</v>
      </c>
    </row>
    <row r="2" customFormat="false" ht="84.75" hidden="false" customHeight="true" outlineLevel="0" collapsed="false">
      <c r="A2" s="5" t="s">
        <v>251</v>
      </c>
    </row>
    <row r="4" customFormat="false" ht="15" hidden="false" customHeight="true" outlineLevel="0" collapsed="false">
      <c r="A4" s="42" t="s">
        <v>192</v>
      </c>
      <c r="B4" s="42" t="s">
        <v>252</v>
      </c>
      <c r="C4" s="42" t="s">
        <v>253</v>
      </c>
      <c r="D4" s="42" t="s">
        <v>254</v>
      </c>
      <c r="E4" s="42" t="s">
        <v>205</v>
      </c>
      <c r="F4" s="42" t="s">
        <v>255</v>
      </c>
    </row>
    <row r="5" customFormat="false" ht="15" hidden="false" customHeight="true" outlineLevel="0" collapsed="false">
      <c r="A5" s="8" t="s">
        <v>256</v>
      </c>
      <c r="B5" s="13" t="n">
        <v>96.63</v>
      </c>
      <c r="C5" s="8" t="n">
        <v>1</v>
      </c>
      <c r="D5" s="8" t="s">
        <v>34</v>
      </c>
      <c r="E5" s="7" t="s">
        <v>207</v>
      </c>
      <c r="F5" s="8"/>
    </row>
    <row r="6" customFormat="false" ht="15" hidden="false" customHeight="true" outlineLevel="0" collapsed="false">
      <c r="A6" s="8" t="s">
        <v>257</v>
      </c>
      <c r="B6" s="13" t="n">
        <v>335.68</v>
      </c>
      <c r="C6" s="8" t="n">
        <v>1</v>
      </c>
      <c r="D6" s="8" t="s">
        <v>134</v>
      </c>
      <c r="E6" s="9" t="s">
        <v>210</v>
      </c>
      <c r="F6" s="8" t="s">
        <v>258</v>
      </c>
    </row>
    <row r="7" customFormat="false" ht="15" hidden="false" customHeight="true" outlineLevel="0" collapsed="false">
      <c r="A7" s="8" t="s">
        <v>259</v>
      </c>
      <c r="B7" s="13" t="n">
        <v>532.93</v>
      </c>
      <c r="C7" s="8" t="n">
        <v>1</v>
      </c>
      <c r="D7" s="8" t="s">
        <v>169</v>
      </c>
      <c r="E7" s="7" t="s">
        <v>207</v>
      </c>
      <c r="F7" s="8"/>
    </row>
    <row r="8" customFormat="false" ht="15" hidden="false" customHeight="true" outlineLevel="0" collapsed="false">
      <c r="A8" s="8" t="s">
        <v>260</v>
      </c>
      <c r="B8" s="13" t="n">
        <v>616.18</v>
      </c>
      <c r="C8" s="8" t="n">
        <v>1</v>
      </c>
      <c r="D8" s="8" t="s">
        <v>57</v>
      </c>
      <c r="E8" s="9" t="s">
        <v>210</v>
      </c>
      <c r="F8" s="8" t="s">
        <v>261</v>
      </c>
    </row>
    <row r="9" customFormat="false" ht="15" hidden="false" customHeight="true" outlineLevel="0" collapsed="false">
      <c r="A9" s="8" t="s">
        <v>262</v>
      </c>
      <c r="B9" s="13" t="n">
        <v>203.16</v>
      </c>
      <c r="C9" s="8" t="n">
        <v>1</v>
      </c>
      <c r="D9" s="8" t="s">
        <v>263</v>
      </c>
      <c r="E9" s="9" t="s">
        <v>210</v>
      </c>
      <c r="F9" s="8" t="s">
        <v>264</v>
      </c>
    </row>
    <row r="10" customFormat="false" ht="15" hidden="false" customHeight="true" outlineLevel="0" collapsed="false">
      <c r="A10" s="8" t="s">
        <v>265</v>
      </c>
      <c r="B10" s="13" t="n">
        <v>248.75</v>
      </c>
      <c r="C10" s="8" t="n">
        <v>1</v>
      </c>
      <c r="D10" s="8" t="s">
        <v>161</v>
      </c>
      <c r="E10" s="9" t="s">
        <v>210</v>
      </c>
      <c r="F10" s="8" t="s">
        <v>266</v>
      </c>
    </row>
    <row r="11" customFormat="false" ht="15" hidden="false" customHeight="true" outlineLevel="0" collapsed="false">
      <c r="A11" s="8" t="s">
        <v>267</v>
      </c>
      <c r="B11" s="13" t="n">
        <v>335.78</v>
      </c>
      <c r="C11" s="8" t="n">
        <v>2</v>
      </c>
      <c r="D11" s="8" t="s">
        <v>268</v>
      </c>
      <c r="E11" s="7" t="s">
        <v>207</v>
      </c>
      <c r="F11" s="8" t="s">
        <v>269</v>
      </c>
    </row>
    <row r="12" customFormat="false" ht="15" hidden="false" customHeight="true" outlineLevel="0" collapsed="false">
      <c r="A12" s="8" t="s">
        <v>270</v>
      </c>
      <c r="B12" s="13" t="n">
        <v>942.98</v>
      </c>
      <c r="C12" s="8" t="n">
        <v>2</v>
      </c>
      <c r="D12" s="8" t="s">
        <v>271</v>
      </c>
      <c r="E12" s="9" t="s">
        <v>210</v>
      </c>
      <c r="F12" s="8" t="s">
        <v>272</v>
      </c>
    </row>
    <row r="13" customFormat="false" ht="15" hidden="false" customHeight="true" outlineLevel="0" collapsed="false">
      <c r="A13" s="8" t="s">
        <v>273</v>
      </c>
      <c r="B13" s="13" t="n">
        <v>674.62</v>
      </c>
      <c r="C13" s="8" t="n">
        <v>1</v>
      </c>
      <c r="D13" s="8" t="s">
        <v>129</v>
      </c>
      <c r="E13" s="7" t="s">
        <v>207</v>
      </c>
      <c r="F13" s="8"/>
    </row>
    <row r="14" customFormat="false" ht="15" hidden="false" customHeight="true" outlineLevel="0" collapsed="false">
      <c r="A14" s="8" t="s">
        <v>274</v>
      </c>
      <c r="B14" s="13" t="n">
        <v>371.43</v>
      </c>
      <c r="C14" s="8" t="n">
        <v>2</v>
      </c>
      <c r="D14" s="8" t="s">
        <v>275</v>
      </c>
      <c r="E14" s="9" t="s">
        <v>210</v>
      </c>
      <c r="F14" s="8" t="s">
        <v>276</v>
      </c>
    </row>
    <row r="15" customFormat="false" ht="15" hidden="false" customHeight="true" outlineLevel="0" collapsed="false">
      <c r="A15" s="8" t="s">
        <v>277</v>
      </c>
      <c r="B15" s="13" t="n">
        <v>319.58</v>
      </c>
      <c r="C15" s="8" t="n">
        <v>1</v>
      </c>
      <c r="D15" s="8" t="s">
        <v>115</v>
      </c>
      <c r="E15" s="7" t="s">
        <v>207</v>
      </c>
      <c r="F15" s="8" t="s">
        <v>278</v>
      </c>
    </row>
    <row r="16" customFormat="false" ht="15" hidden="false" customHeight="true" outlineLevel="0" collapsed="false">
      <c r="A16" s="8" t="s">
        <v>279</v>
      </c>
      <c r="B16" s="13" t="n">
        <v>203.54</v>
      </c>
      <c r="C16" s="8" t="n">
        <v>1</v>
      </c>
      <c r="D16" s="8" t="s">
        <v>125</v>
      </c>
      <c r="E16" s="7" t="s">
        <v>207</v>
      </c>
      <c r="F16" s="8" t="s">
        <v>280</v>
      </c>
    </row>
    <row r="17" customFormat="false" ht="15" hidden="false" customHeight="true" outlineLevel="0" collapsed="false">
      <c r="A17" s="8" t="s">
        <v>281</v>
      </c>
      <c r="B17" s="13" t="n">
        <v>610.62</v>
      </c>
      <c r="C17" s="8" t="n">
        <v>3</v>
      </c>
      <c r="D17" s="8" t="s">
        <v>282</v>
      </c>
      <c r="E17" s="9" t="s">
        <v>210</v>
      </c>
      <c r="F17" s="8" t="s">
        <v>283</v>
      </c>
    </row>
    <row r="18" customFormat="false" ht="15" hidden="false" customHeight="true" outlineLevel="0" collapsed="false">
      <c r="A18" s="8" t="s">
        <v>284</v>
      </c>
      <c r="B18" s="13" t="n">
        <v>583.67</v>
      </c>
      <c r="C18" s="8" t="n">
        <v>2</v>
      </c>
      <c r="D18" s="8" t="s">
        <v>285</v>
      </c>
      <c r="E18" s="9" t="s">
        <v>210</v>
      </c>
      <c r="F18" s="8" t="s">
        <v>286</v>
      </c>
    </row>
    <row r="19" customFormat="false" ht="15" hidden="false" customHeight="true" outlineLevel="0" collapsed="false">
      <c r="A19" s="8" t="s">
        <v>287</v>
      </c>
      <c r="B19" s="13" t="n">
        <v>203.54</v>
      </c>
      <c r="C19" s="8" t="n">
        <v>1</v>
      </c>
      <c r="D19" s="8" t="s">
        <v>125</v>
      </c>
      <c r="E19" s="9" t="s">
        <v>210</v>
      </c>
      <c r="F19" s="8" t="s">
        <v>288</v>
      </c>
    </row>
    <row r="20" customFormat="false" ht="15" hidden="false" customHeight="true" outlineLevel="0" collapsed="false">
      <c r="A20" s="8" t="s">
        <v>289</v>
      </c>
      <c r="B20" s="13" t="n">
        <v>167.89</v>
      </c>
      <c r="C20" s="8" t="n">
        <v>1</v>
      </c>
      <c r="D20" s="8" t="s">
        <v>126</v>
      </c>
      <c r="E20" s="9" t="s">
        <v>210</v>
      </c>
      <c r="F20" s="8" t="s">
        <v>290</v>
      </c>
    </row>
    <row r="21" customFormat="false" ht="15" hidden="false" customHeight="true" outlineLevel="0" collapsed="false">
      <c r="A21" s="8" t="s">
        <v>291</v>
      </c>
      <c r="B21" s="13" t="n">
        <v>497.34</v>
      </c>
      <c r="C21" s="8" t="n">
        <v>4</v>
      </c>
      <c r="D21" s="8" t="s">
        <v>292</v>
      </c>
      <c r="E21" s="9" t="s">
        <v>210</v>
      </c>
      <c r="F21" s="8" t="s">
        <v>293</v>
      </c>
    </row>
    <row r="22" customFormat="false" ht="15" hidden="false" customHeight="true" outlineLevel="0" collapsed="false">
      <c r="A22" s="8" t="s">
        <v>294</v>
      </c>
      <c r="B22" s="13" t="n">
        <v>153.72</v>
      </c>
      <c r="C22" s="8" t="n">
        <v>1</v>
      </c>
      <c r="D22" s="8" t="s">
        <v>295</v>
      </c>
      <c r="E22" s="7" t="s">
        <v>207</v>
      </c>
      <c r="F22" s="8" t="s">
        <v>296</v>
      </c>
    </row>
    <row r="23" customFormat="false" ht="15" hidden="false" customHeight="true" outlineLevel="0" collapsed="false">
      <c r="A23" s="8" t="s">
        <v>297</v>
      </c>
      <c r="B23" s="13" t="n">
        <v>674.62</v>
      </c>
      <c r="C23" s="8" t="n">
        <v>1</v>
      </c>
      <c r="D23" s="8" t="s">
        <v>298</v>
      </c>
      <c r="E23" s="7" t="s">
        <v>207</v>
      </c>
      <c r="F23" s="8" t="s">
        <v>299</v>
      </c>
    </row>
    <row r="24" customFormat="false" ht="15" hidden="false" customHeight="true" outlineLevel="0" collapsed="false">
      <c r="A24" s="8" t="s">
        <v>300</v>
      </c>
      <c r="B24" s="13" t="n">
        <v>396.06</v>
      </c>
      <c r="C24" s="8" t="n">
        <v>2</v>
      </c>
      <c r="D24" s="8" t="s">
        <v>301</v>
      </c>
      <c r="E24" s="9" t="s">
        <v>210</v>
      </c>
      <c r="F24" s="8" t="s">
        <v>302</v>
      </c>
    </row>
    <row r="25" customFormat="false" ht="15" hidden="false" customHeight="true" outlineLevel="0" collapsed="false">
      <c r="A25" s="8" t="s">
        <v>303</v>
      </c>
      <c r="B25" s="13" t="n">
        <v>543.85</v>
      </c>
      <c r="C25" s="8" t="n">
        <v>1</v>
      </c>
      <c r="D25" s="8" t="s">
        <v>148</v>
      </c>
      <c r="E25" s="9" t="s">
        <v>210</v>
      </c>
      <c r="F25" s="8" t="s">
        <v>304</v>
      </c>
    </row>
    <row r="26" customFormat="false" ht="15" hidden="false" customHeight="true" outlineLevel="0" collapsed="false">
      <c r="A26" s="8" t="s">
        <v>305</v>
      </c>
      <c r="B26" s="13" t="n">
        <v>503.67</v>
      </c>
      <c r="C26" s="8" t="n">
        <v>3</v>
      </c>
      <c r="D26" s="8" t="s">
        <v>306</v>
      </c>
      <c r="E26" s="9" t="s">
        <v>210</v>
      </c>
      <c r="F26" s="8" t="s">
        <v>307</v>
      </c>
    </row>
    <row r="27" customFormat="false" ht="15" hidden="false" customHeight="true" outlineLevel="0" collapsed="false">
      <c r="A27" s="8" t="s">
        <v>308</v>
      </c>
      <c r="B27" s="13" t="n">
        <v>116</v>
      </c>
      <c r="C27" s="8" t="n">
        <v>1</v>
      </c>
      <c r="D27" s="8" t="s">
        <v>37</v>
      </c>
      <c r="E27" s="7" t="s">
        <v>207</v>
      </c>
      <c r="F27" s="8" t="s">
        <v>309</v>
      </c>
    </row>
    <row r="28" customFormat="false" ht="15" hidden="false" customHeight="true" outlineLevel="0" collapsed="false">
      <c r="A28" s="8" t="s">
        <v>310</v>
      </c>
      <c r="B28" s="13" t="n">
        <v>398.7</v>
      </c>
      <c r="C28" s="8" t="n">
        <v>3</v>
      </c>
      <c r="D28" s="8" t="s">
        <v>311</v>
      </c>
      <c r="E28" s="9" t="s">
        <v>210</v>
      </c>
      <c r="F28" s="8" t="s">
        <v>312</v>
      </c>
    </row>
    <row r="29" customFormat="false" ht="15" hidden="false" customHeight="true" outlineLevel="0" collapsed="false">
      <c r="A29" s="16" t="s">
        <v>313</v>
      </c>
      <c r="B29" s="43" t="n">
        <v>4212.68</v>
      </c>
      <c r="C29" s="16" t="n">
        <v>4</v>
      </c>
      <c r="D29" s="16" t="s">
        <v>314</v>
      </c>
      <c r="E29" s="44" t="s">
        <v>207</v>
      </c>
      <c r="F29" s="16" t="s">
        <v>315</v>
      </c>
    </row>
    <row r="30" customFormat="false" ht="15" hidden="false" customHeight="true" outlineLevel="0" collapsed="false">
      <c r="A30" s="16" t="s">
        <v>316</v>
      </c>
      <c r="B30" s="43" t="n">
        <v>1022.84</v>
      </c>
      <c r="C30" s="16" t="n">
        <v>2</v>
      </c>
      <c r="D30" s="16" t="s">
        <v>317</v>
      </c>
      <c r="E30" s="44" t="s">
        <v>207</v>
      </c>
      <c r="F30" s="16"/>
    </row>
    <row r="31" customFormat="false" ht="15" hidden="false" customHeight="true" outlineLevel="0" collapsed="false">
      <c r="A31" s="8" t="s">
        <v>316</v>
      </c>
      <c r="B31" s="13" t="n">
        <v>116</v>
      </c>
      <c r="C31" s="8" t="n">
        <v>1</v>
      </c>
      <c r="D31" s="8" t="s">
        <v>37</v>
      </c>
      <c r="E31" s="9" t="s">
        <v>207</v>
      </c>
      <c r="F31" s="16" t="s">
        <v>318</v>
      </c>
    </row>
    <row r="32" customFormat="false" ht="15" hidden="false" customHeight="true" outlineLevel="0" collapsed="false">
      <c r="A32" s="8" t="s">
        <v>319</v>
      </c>
      <c r="B32" s="13" t="n">
        <v>870.51</v>
      </c>
      <c r="C32" s="8" t="n">
        <v>3</v>
      </c>
      <c r="D32" s="8" t="s">
        <v>320</v>
      </c>
      <c r="E32" s="9" t="s">
        <v>207</v>
      </c>
      <c r="F32" s="16" t="s">
        <v>321</v>
      </c>
    </row>
    <row r="33" customFormat="false" ht="15" hidden="false" customHeight="true" outlineLevel="0" collapsed="false">
      <c r="A33" s="8" t="s">
        <v>319</v>
      </c>
      <c r="B33" s="13" t="n">
        <v>1070.17</v>
      </c>
      <c r="C33" s="8" t="n">
        <v>1</v>
      </c>
      <c r="D33" s="8" t="s">
        <v>61</v>
      </c>
      <c r="E33" s="9" t="s">
        <v>207</v>
      </c>
      <c r="F33" s="16" t="s">
        <v>322</v>
      </c>
    </row>
    <row r="34" customFormat="false" ht="15" hidden="false" customHeight="true" outlineLevel="0" collapsed="false">
      <c r="A34" s="8" t="s">
        <v>323</v>
      </c>
      <c r="B34" s="13" t="n">
        <v>407.08</v>
      </c>
      <c r="C34" s="8" t="n">
        <v>2</v>
      </c>
      <c r="D34" s="8" t="s">
        <v>324</v>
      </c>
      <c r="E34" s="9" t="s">
        <v>207</v>
      </c>
      <c r="F34" s="16" t="s">
        <v>325</v>
      </c>
    </row>
    <row r="35" customFormat="false" ht="15" hidden="false" customHeight="true" outlineLevel="0" collapsed="false">
      <c r="A35" s="8" t="s">
        <v>323</v>
      </c>
      <c r="B35" s="13" t="n">
        <v>132.9</v>
      </c>
      <c r="C35" s="8" t="n">
        <v>1</v>
      </c>
      <c r="D35" s="8" t="s">
        <v>106</v>
      </c>
      <c r="E35" s="9" t="s">
        <v>210</v>
      </c>
      <c r="F35" s="16" t="s">
        <v>209</v>
      </c>
    </row>
    <row r="36" customFormat="false" ht="15" hidden="false" customHeight="true" outlineLevel="0" collapsed="false">
      <c r="A36" s="16" t="s">
        <v>326</v>
      </c>
      <c r="B36" s="43" t="n">
        <v>642.24</v>
      </c>
      <c r="C36" s="16" t="n">
        <v>1</v>
      </c>
      <c r="D36" s="16" t="s">
        <v>149</v>
      </c>
      <c r="E36" s="44" t="s">
        <v>207</v>
      </c>
      <c r="F36" s="16"/>
    </row>
    <row r="37" customFormat="false" ht="294" hidden="false" customHeight="true" outlineLevel="0" collapsed="false">
      <c r="A37" s="16" t="s">
        <v>327</v>
      </c>
      <c r="B37" s="43" t="n">
        <v>119.22</v>
      </c>
      <c r="C37" s="16" t="n">
        <v>1</v>
      </c>
      <c r="D37" s="16" t="s">
        <v>46</v>
      </c>
      <c r="E37" s="44" t="s">
        <v>207</v>
      </c>
      <c r="F37" s="16"/>
    </row>
    <row r="38" customFormat="false" ht="15" hidden="false" customHeight="true" outlineLevel="0" collapsed="false">
      <c r="A38" s="16" t="s">
        <v>328</v>
      </c>
      <c r="B38" s="43" t="n">
        <v>335.68</v>
      </c>
      <c r="C38" s="16" t="n">
        <v>1</v>
      </c>
      <c r="D38" s="16" t="s">
        <v>134</v>
      </c>
      <c r="E38" s="44" t="s">
        <v>210</v>
      </c>
      <c r="F38" s="16" t="s">
        <v>209</v>
      </c>
    </row>
    <row r="39" customFormat="false" ht="15" hidden="false" customHeight="true" outlineLevel="0" collapsed="false">
      <c r="A39" s="16" t="s">
        <v>329</v>
      </c>
      <c r="B39" s="43" t="n">
        <v>1741.56</v>
      </c>
      <c r="C39" s="16" t="n">
        <v>3</v>
      </c>
      <c r="D39" s="16" t="s">
        <v>330</v>
      </c>
      <c r="E39" s="44" t="s">
        <v>210</v>
      </c>
      <c r="F39" s="16" t="s">
        <v>331</v>
      </c>
    </row>
    <row r="40" customFormat="false" ht="15" hidden="false" customHeight="true" outlineLevel="0" collapsed="false">
      <c r="A40" s="16" t="s">
        <v>332</v>
      </c>
      <c r="B40" s="43" t="n">
        <v>203.54</v>
      </c>
      <c r="C40" s="16" t="n">
        <v>1</v>
      </c>
      <c r="D40" s="16" t="s">
        <v>125</v>
      </c>
      <c r="E40" s="44" t="s">
        <v>210</v>
      </c>
      <c r="F40" s="16" t="s">
        <v>333</v>
      </c>
    </row>
    <row r="41" customFormat="false" ht="15" hidden="false" customHeight="true" outlineLevel="0" collapsed="false">
      <c r="A41" s="16" t="s">
        <v>334</v>
      </c>
      <c r="B41" s="43" t="n">
        <v>167.89</v>
      </c>
      <c r="C41" s="16" t="n">
        <v>1</v>
      </c>
      <c r="D41" s="16" t="s">
        <v>126</v>
      </c>
      <c r="E41" s="44" t="s">
        <v>207</v>
      </c>
      <c r="F41" s="16"/>
    </row>
    <row r="42" customFormat="false" ht="15" hidden="false" customHeight="true" outlineLevel="0" collapsed="false">
      <c r="A42" s="16" t="s">
        <v>335</v>
      </c>
      <c r="B42" s="43" t="n">
        <v>132.9</v>
      </c>
      <c r="C42" s="16" t="n">
        <v>1</v>
      </c>
      <c r="D42" s="16" t="s">
        <v>106</v>
      </c>
      <c r="E42" s="44" t="s">
        <v>210</v>
      </c>
      <c r="F42" s="16" t="s">
        <v>209</v>
      </c>
    </row>
    <row r="43" customFormat="false" ht="15" hidden="false" customHeight="true" outlineLevel="0" collapsed="false">
      <c r="A43" s="16" t="s">
        <v>336</v>
      </c>
      <c r="B43" s="43" t="n">
        <v>265.8</v>
      </c>
      <c r="C43" s="16" t="n">
        <v>2</v>
      </c>
      <c r="D43" s="16" t="s">
        <v>337</v>
      </c>
      <c r="E43" s="44" t="s">
        <v>210</v>
      </c>
      <c r="F43" s="16" t="s">
        <v>338</v>
      </c>
    </row>
    <row r="44" customFormat="false" ht="15" hidden="false" customHeight="true" outlineLevel="0" collapsed="false">
      <c r="A44" s="16" t="s">
        <v>336</v>
      </c>
      <c r="B44" s="43" t="n">
        <v>779.7</v>
      </c>
      <c r="C44" s="16" t="n">
        <v>3</v>
      </c>
      <c r="D44" s="16" t="s">
        <v>339</v>
      </c>
      <c r="E44" s="44" t="s">
        <v>207</v>
      </c>
      <c r="F44" s="16" t="s">
        <v>340</v>
      </c>
    </row>
    <row r="45" customFormat="false" ht="15" hidden="false" customHeight="true" outlineLevel="0" collapsed="false">
      <c r="A45" s="16" t="s">
        <v>336</v>
      </c>
      <c r="B45" s="43" t="n">
        <v>132.9</v>
      </c>
      <c r="C45" s="16" t="n">
        <v>1</v>
      </c>
      <c r="D45" s="16" t="s">
        <v>106</v>
      </c>
      <c r="E45" s="44" t="s">
        <v>210</v>
      </c>
      <c r="F45" s="16" t="s">
        <v>209</v>
      </c>
    </row>
    <row r="47" customFormat="false" ht="15" hidden="false" customHeight="true" outlineLevel="0" collapsed="false">
      <c r="A47" s="3" t="s">
        <v>341</v>
      </c>
    </row>
    <row r="48" customFormat="false" ht="15" hidden="false" customHeight="true" outlineLevel="0" collapsed="false">
      <c r="A48" s="45" t="s">
        <v>342</v>
      </c>
      <c r="B48" s="45" t="s">
        <v>343</v>
      </c>
      <c r="C48" s="45" t="s">
        <v>344</v>
      </c>
      <c r="D48" s="45" t="s">
        <v>345</v>
      </c>
      <c r="E48" s="45" t="s">
        <v>346</v>
      </c>
    </row>
    <row r="49" customFormat="false" ht="15" hidden="false" customHeight="true" outlineLevel="0" collapsed="false">
      <c r="A49" s="16" t="s">
        <v>347</v>
      </c>
      <c r="B49" s="43" t="n">
        <v>3312.09</v>
      </c>
      <c r="C49" s="43" t="n">
        <v>2346.75</v>
      </c>
      <c r="D49" s="43" t="n">
        <v>965.34</v>
      </c>
      <c r="E49" s="46" t="n">
        <v>0.291459471210021</v>
      </c>
    </row>
    <row r="50" customFormat="false" ht="15" hidden="false" customHeight="true" outlineLevel="0" collapsed="false">
      <c r="A50" s="16" t="s">
        <v>348</v>
      </c>
      <c r="B50" s="43" t="n">
        <v>4856.63</v>
      </c>
      <c r="C50" s="43" t="n">
        <v>2830.55</v>
      </c>
      <c r="D50" s="43" t="n">
        <v>2026.08</v>
      </c>
      <c r="E50" s="46" t="n">
        <v>0.41717816675349</v>
      </c>
    </row>
    <row r="51" customFormat="false" ht="15" hidden="false" customHeight="true" outlineLevel="0" collapsed="false">
      <c r="A51" s="16" t="s">
        <v>349</v>
      </c>
      <c r="B51" s="43" t="n">
        <v>13915.83</v>
      </c>
      <c r="C51" s="43" t="n">
        <v>4391.5</v>
      </c>
      <c r="D51" s="43" t="n">
        <v>9524.33</v>
      </c>
      <c r="E51" s="46" t="n">
        <v>0.684424141427425</v>
      </c>
    </row>
    <row r="52" customFormat="false" ht="15" hidden="false" customHeight="true" outlineLevel="0" collapsed="false">
      <c r="A52" s="3" t="s">
        <v>350</v>
      </c>
      <c r="B52" s="47" t="n">
        <v>22084.55</v>
      </c>
      <c r="C52" s="47" t="n">
        <v>9568.8</v>
      </c>
      <c r="D52" s="47" t="n">
        <v>12515.75</v>
      </c>
      <c r="E52" s="46" t="n">
        <v>0.566719720347483</v>
      </c>
    </row>
    <row r="54" customFormat="false" ht="690" hidden="false" customHeight="true" outlineLevel="0" collapsed="false">
      <c r="A54" s="48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H11" activeCellId="0" sqref="H1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  <col collapsed="false" customWidth="true" hidden="false" outlineLevel="0" max="4" min="3" style="1" width="8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20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11"/>
    <col collapsed="false" customWidth="true" hidden="false" outlineLevel="0" max="13" min="13" style="1" width="10"/>
    <col collapsed="false" customWidth="true" hidden="false" outlineLevel="0" max="14" min="14" style="1" width="13"/>
    <col collapsed="false" customWidth="true" hidden="false" outlineLevel="0" max="15" min="15" style="1" width="2"/>
    <col collapsed="false" customWidth="true" hidden="false" outlineLevel="0" max="16" min="16" style="1" width="12"/>
    <col collapsed="false" customWidth="true" hidden="false" outlineLevel="0" max="17" min="17" style="1" width="13"/>
    <col collapsed="false" customWidth="true" hidden="false" outlineLevel="0" max="18" min="18" style="1" width="22"/>
  </cols>
  <sheetData>
    <row r="1" customFormat="false" ht="16.5" hidden="false" customHeight="true" outlineLevel="0" collapsed="false">
      <c r="A1" s="2" t="s">
        <v>352</v>
      </c>
    </row>
    <row r="2" customFormat="false" ht="15" hidden="false" customHeight="true" outlineLevel="0" collapsed="false">
      <c r="A2" s="5" t="s">
        <v>353</v>
      </c>
    </row>
    <row r="3" customFormat="false" ht="15" hidden="false" customHeight="true" outlineLevel="0" collapsed="false">
      <c r="A3" s="3" t="s">
        <v>190</v>
      </c>
      <c r="B3" s="17" t="n">
        <v>0.1</v>
      </c>
      <c r="C3" s="3" t="s">
        <v>354</v>
      </c>
      <c r="E3" s="17" t="n">
        <v>0.135</v>
      </c>
      <c r="F3" s="5" t="s">
        <v>355</v>
      </c>
    </row>
    <row r="4" customFormat="false" ht="15" hidden="false" customHeight="true" outlineLevel="0" collapsed="false">
      <c r="A4" s="5" t="s">
        <v>356</v>
      </c>
    </row>
    <row r="5" customFormat="false" ht="38.25" hidden="false" customHeight="true" outlineLevel="0" collapsed="false">
      <c r="A5" s="18" t="s">
        <v>357</v>
      </c>
      <c r="B5" s="18" t="s">
        <v>358</v>
      </c>
      <c r="C5" s="18" t="s">
        <v>359</v>
      </c>
      <c r="D5" s="18" t="s">
        <v>360</v>
      </c>
      <c r="E5" s="18" t="s">
        <v>361</v>
      </c>
      <c r="F5" s="18" t="s">
        <v>362</v>
      </c>
      <c r="G5" s="18" t="s">
        <v>363</v>
      </c>
      <c r="H5" s="18" t="s">
        <v>364</v>
      </c>
      <c r="I5" s="18" t="s">
        <v>365</v>
      </c>
      <c r="J5" s="18" t="s">
        <v>85</v>
      </c>
      <c r="K5" s="18" t="s">
        <v>366</v>
      </c>
      <c r="L5" s="18" t="s">
        <v>89</v>
      </c>
      <c r="M5" s="18" t="s">
        <v>90</v>
      </c>
      <c r="N5" s="18" t="s">
        <v>367</v>
      </c>
      <c r="O5" s="18"/>
      <c r="P5" s="18" t="s">
        <v>368</v>
      </c>
      <c r="Q5" s="18" t="s">
        <v>369</v>
      </c>
      <c r="R5" s="18" t="s">
        <v>18</v>
      </c>
    </row>
    <row r="6" customFormat="false" ht="15" hidden="false" customHeight="true" outlineLevel="0" collapsed="false">
      <c r="A6" s="33" t="s">
        <v>370</v>
      </c>
      <c r="B6" s="33" t="n">
        <v>45</v>
      </c>
      <c r="C6" s="33" t="n">
        <v>26</v>
      </c>
      <c r="D6" s="33" t="n">
        <v>26</v>
      </c>
      <c r="E6" s="33" t="n">
        <v>3</v>
      </c>
      <c r="F6" s="49" t="n">
        <f aca="false">IF(OR(B6="",C6="",D6=""),"",ROUND(B6*C6*D6/6000,2))</f>
        <v>5.07</v>
      </c>
      <c r="G6" s="49" t="n">
        <f aca="false">IF(F6="","",MAX(F6,IF(E6="",0,E6)))</f>
        <v>5.07</v>
      </c>
      <c r="H6" s="8" t="str">
        <f aca="false">IF(G6="","",IF(G6&lt;=5.5,"Pequenos",IF(G6&lt;=18,"Medios","Grandes")))</f>
        <v>Pequenos</v>
      </c>
      <c r="I6" s="33" t="s">
        <v>98</v>
      </c>
      <c r="J6" s="34" t="n">
        <v>80</v>
      </c>
      <c r="K6" s="50" t="n">
        <v>0.175</v>
      </c>
      <c r="L6" s="13" t="n">
        <f aca="false">IF(OR(H6="",I6=""),"",INDEX(Ref_Frete!$B$2:$G$54,MATCH(I6,Ref_Frete!$A$2:$A$54,0),IF(H6="Pequenos",2,IF(H6="Medios",4,6))))</f>
        <v>16.9</v>
      </c>
      <c r="M6" s="13" t="n">
        <f aca="false">IF(OR(H6="",I6=""),"",INDEX(Ref_Frete!$B$2:$G$54,MATCH(I6,Ref_Frete!$A$2:$A$54,0),IF(H6="Pequenos",1,IF(H6="Medios",3,5))))</f>
        <v>30</v>
      </c>
      <c r="N6" s="35" t="n">
        <f aca="false">IF(OR(J6="",K6="",L6="",M6=""),"",ROUND((J6+M6-L6*(1-$E$3))/(1-$E$3-$B$3-K6),2))</f>
        <v>161.66</v>
      </c>
      <c r="O6" s="51"/>
      <c r="P6" s="34" t="n">
        <v>220</v>
      </c>
      <c r="Q6" s="12" t="n">
        <f aca="false">IF(OR(P6="",J6="",L6="",M6=""),"",(P6-$E$3*(P6+L6)-J6-$B$3*P6+L6-M6)/P6)</f>
        <v>0.331447727272727</v>
      </c>
      <c r="R6" s="22" t="str">
        <f aca="false">IF(Q6="","",IF(Q6&lt;0,"PREJUÍZO",IF(Q6&lt;0.1,"CRÍTICO (&lt;10%)",IF(Q6&lt;0.15,"ABAIXO DA META (10-15%)",IF(Q6&lt;=0.2,"DENTRO DA META (15-20%)","ACIMA DA META (&gt;20%)")))))</f>
        <v>ACIMA DA META (&gt;20%)</v>
      </c>
    </row>
    <row r="7" customFormat="false" ht="15" hidden="false" customHeight="true" outlineLevel="0" collapsed="false">
      <c r="B7" s="19"/>
      <c r="C7" s="19"/>
      <c r="D7" s="19"/>
      <c r="E7" s="19"/>
      <c r="F7" s="49"/>
      <c r="G7" s="49"/>
      <c r="H7" s="8" t="str">
        <f aca="false">IF(G7="","",IF(G7&lt;=5.5,"Pequenos",IF(G7&lt;=18,"Medios","Grandes")))</f>
        <v/>
      </c>
      <c r="I7" s="33"/>
      <c r="J7" s="20"/>
      <c r="K7" s="21"/>
      <c r="L7" s="13"/>
      <c r="M7" s="13"/>
      <c r="N7" s="35"/>
      <c r="O7" s="51"/>
      <c r="P7" s="20"/>
      <c r="Q7" s="12"/>
      <c r="R7" s="22"/>
    </row>
    <row r="8" customFormat="false" ht="15" hidden="false" customHeight="true" outlineLevel="0" collapsed="false">
      <c r="B8" s="19"/>
      <c r="C8" s="19"/>
      <c r="D8" s="19"/>
      <c r="E8" s="19"/>
      <c r="F8" s="49"/>
      <c r="G8" s="49"/>
      <c r="H8" s="8" t="str">
        <f aca="false">IF(G8="","",IF(G8&lt;=5.5,"Pequenos",IF(G8&lt;=18,"Medios","Grandes")))</f>
        <v/>
      </c>
      <c r="I8" s="33"/>
      <c r="J8" s="20"/>
      <c r="K8" s="21"/>
      <c r="L8" s="13"/>
      <c r="M8" s="13"/>
      <c r="N8" s="35"/>
      <c r="O8" s="51"/>
      <c r="P8" s="20"/>
      <c r="Q8" s="12"/>
      <c r="R8" s="22"/>
    </row>
    <row r="9" customFormat="false" ht="15" hidden="false" customHeight="true" outlineLevel="0" collapsed="false">
      <c r="B9" s="19"/>
      <c r="C9" s="19"/>
      <c r="D9" s="19"/>
      <c r="E9" s="19"/>
      <c r="F9" s="49"/>
      <c r="G9" s="49"/>
      <c r="H9" s="8" t="str">
        <f aca="false">IF(G9="","",IF(G9&lt;=5.5,"Pequenos",IF(G9&lt;=18,"Medios","Grandes")))</f>
        <v/>
      </c>
      <c r="I9" s="33"/>
      <c r="J9" s="20"/>
      <c r="K9" s="21"/>
      <c r="L9" s="13"/>
      <c r="M9" s="13"/>
      <c r="N9" s="35"/>
      <c r="O9" s="51"/>
      <c r="P9" s="35"/>
      <c r="Q9" s="12"/>
      <c r="R9" s="22"/>
    </row>
    <row r="10" customFormat="false" ht="15" hidden="false" customHeight="true" outlineLevel="0" collapsed="false">
      <c r="B10" s="19"/>
      <c r="C10" s="19"/>
      <c r="D10" s="19"/>
      <c r="E10" s="19"/>
      <c r="F10" s="49"/>
      <c r="G10" s="49"/>
      <c r="H10" s="8" t="str">
        <f aca="false">IF(G10="","",IF(G10&lt;=5.5,"Pequenos",IF(G10&lt;=18,"Medios","Grandes")))</f>
        <v/>
      </c>
      <c r="I10" s="33"/>
      <c r="J10" s="20"/>
      <c r="K10" s="21"/>
      <c r="L10" s="13"/>
      <c r="M10" s="13"/>
      <c r="N10" s="35"/>
      <c r="O10" s="51"/>
      <c r="P10" s="20"/>
      <c r="Q10" s="12"/>
      <c r="R10" s="22"/>
    </row>
    <row r="11" customFormat="false" ht="15" hidden="false" customHeight="true" outlineLevel="0" collapsed="false">
      <c r="B11" s="19"/>
      <c r="C11" s="19"/>
      <c r="D11" s="19"/>
      <c r="E11" s="19"/>
      <c r="F11" s="49"/>
      <c r="G11" s="49"/>
      <c r="H11" s="8" t="str">
        <f aca="false">IF(G11="","",IF(G11&lt;=5.5,"Pequenos",IF(G11&lt;=18,"Medios","Grandes")))</f>
        <v/>
      </c>
      <c r="I11" s="33"/>
      <c r="J11" s="20"/>
      <c r="K11" s="21"/>
      <c r="L11" s="13"/>
      <c r="M11" s="13"/>
      <c r="N11" s="35"/>
      <c r="O11" s="51"/>
      <c r="P11" s="20"/>
      <c r="Q11" s="12"/>
      <c r="R11" s="22"/>
    </row>
    <row r="12" customFormat="false" ht="15" hidden="false" customHeight="true" outlineLevel="0" collapsed="false">
      <c r="B12" s="19"/>
      <c r="C12" s="19"/>
      <c r="D12" s="19"/>
      <c r="E12" s="19"/>
      <c r="F12" s="49"/>
      <c r="G12" s="49"/>
      <c r="H12" s="8" t="str">
        <f aca="false">IF(G12="","",IF(G12&lt;=5.5,"Pequenos",IF(G12&lt;=18,"Medios","Grandes")))</f>
        <v/>
      </c>
      <c r="I12" s="33"/>
      <c r="J12" s="20"/>
      <c r="K12" s="21"/>
      <c r="L12" s="13"/>
      <c r="M12" s="13"/>
      <c r="N12" s="35"/>
      <c r="O12" s="51"/>
      <c r="P12" s="20"/>
      <c r="Q12" s="12"/>
      <c r="R12" s="22"/>
    </row>
    <row r="13" customFormat="false" ht="15" hidden="false" customHeight="true" outlineLevel="0" collapsed="false">
      <c r="B13" s="19"/>
      <c r="C13" s="19"/>
      <c r="D13" s="19"/>
      <c r="E13" s="19"/>
      <c r="F13" s="49"/>
      <c r="G13" s="49"/>
      <c r="H13" s="8" t="str">
        <f aca="false">IF(G13="","",IF(G13&lt;=5.5,"Pequenos",IF(G13&lt;=18,"Medios","Grandes")))</f>
        <v/>
      </c>
      <c r="I13" s="33"/>
      <c r="J13" s="20"/>
      <c r="K13" s="21"/>
      <c r="L13" s="13"/>
      <c r="M13" s="13"/>
      <c r="N13" s="35"/>
      <c r="O13" s="51"/>
      <c r="P13" s="20"/>
      <c r="Q13" s="12"/>
      <c r="R13" s="22"/>
    </row>
    <row r="14" customFormat="false" ht="15" hidden="false" customHeight="true" outlineLevel="0" collapsed="false">
      <c r="B14" s="19"/>
      <c r="C14" s="19"/>
      <c r="D14" s="19"/>
      <c r="E14" s="19"/>
      <c r="F14" s="49"/>
      <c r="G14" s="49"/>
      <c r="H14" s="8" t="str">
        <f aca="false">IF(G14="","",IF(G14&lt;=5.5,"Pequenos",IF(G14&lt;=18,"Medios","Grandes")))</f>
        <v/>
      </c>
      <c r="I14" s="33"/>
      <c r="J14" s="20"/>
      <c r="K14" s="21"/>
      <c r="L14" s="13"/>
      <c r="M14" s="13"/>
      <c r="N14" s="35"/>
      <c r="O14" s="51"/>
      <c r="P14" s="20"/>
      <c r="Q14" s="12"/>
      <c r="R14" s="22"/>
    </row>
    <row r="15" customFormat="false" ht="15" hidden="false" customHeight="true" outlineLevel="0" collapsed="false">
      <c r="B15" s="19"/>
      <c r="C15" s="19"/>
      <c r="D15" s="19"/>
      <c r="E15" s="19"/>
      <c r="F15" s="49"/>
      <c r="G15" s="49"/>
      <c r="H15" s="8" t="str">
        <f aca="false">IF(G15="","",IF(G15&lt;=5.5,"Pequenos",IF(G15&lt;=18,"Medios","Grandes")))</f>
        <v/>
      </c>
      <c r="I15" s="33"/>
      <c r="J15" s="20"/>
      <c r="K15" s="21"/>
      <c r="L15" s="13"/>
      <c r="M15" s="13"/>
      <c r="N15" s="35"/>
      <c r="O15" s="51"/>
      <c r="P15" s="20"/>
      <c r="Q15" s="12"/>
      <c r="R15" s="22"/>
    </row>
    <row r="16" customFormat="false" ht="15" hidden="false" customHeight="true" outlineLevel="0" collapsed="false">
      <c r="B16" s="19"/>
      <c r="C16" s="19"/>
      <c r="D16" s="19"/>
      <c r="E16" s="19"/>
      <c r="F16" s="49"/>
      <c r="G16" s="49"/>
      <c r="H16" s="8" t="str">
        <f aca="false">IF(G16="","",IF(G16&lt;=5.5,"Pequenos",IF(G16&lt;=18,"Medios","Grandes")))</f>
        <v/>
      </c>
      <c r="I16" s="33"/>
      <c r="J16" s="20"/>
      <c r="K16" s="21"/>
      <c r="L16" s="13"/>
      <c r="M16" s="13"/>
      <c r="N16" s="35"/>
      <c r="O16" s="51"/>
      <c r="P16" s="20"/>
      <c r="Q16" s="12"/>
      <c r="R16" s="22"/>
    </row>
    <row r="17" customFormat="false" ht="15" hidden="false" customHeight="true" outlineLevel="0" collapsed="false">
      <c r="B17" s="19"/>
      <c r="C17" s="19"/>
      <c r="D17" s="19"/>
      <c r="E17" s="19"/>
      <c r="F17" s="49"/>
      <c r="G17" s="49"/>
      <c r="H17" s="8" t="str">
        <f aca="false">IF(G17="","",IF(G17&lt;=5.5,"Pequenos",IF(G17&lt;=18,"Medios","Grandes")))</f>
        <v/>
      </c>
      <c r="I17" s="33"/>
      <c r="J17" s="20"/>
      <c r="K17" s="21"/>
      <c r="L17" s="13"/>
      <c r="M17" s="13"/>
      <c r="N17" s="35"/>
      <c r="O17" s="51"/>
      <c r="P17" s="20"/>
      <c r="Q17" s="12"/>
      <c r="R17" s="22"/>
    </row>
    <row r="18" customFormat="false" ht="15" hidden="false" customHeight="true" outlineLevel="0" collapsed="false">
      <c r="B18" s="19"/>
      <c r="C18" s="19"/>
      <c r="D18" s="19"/>
      <c r="E18" s="19"/>
      <c r="F18" s="49"/>
      <c r="G18" s="49"/>
      <c r="H18" s="8" t="str">
        <f aca="false">IF(G18="","",IF(G18&lt;=5.5,"Pequenos",IF(G18&lt;=18,"Medios","Grandes")))</f>
        <v/>
      </c>
      <c r="I18" s="33"/>
      <c r="J18" s="20"/>
      <c r="K18" s="21"/>
      <c r="L18" s="13"/>
      <c r="M18" s="13"/>
      <c r="N18" s="35"/>
      <c r="O18" s="51"/>
      <c r="P18" s="20"/>
      <c r="Q18" s="12"/>
      <c r="R18" s="22"/>
    </row>
    <row r="19" customFormat="false" ht="15" hidden="false" customHeight="true" outlineLevel="0" collapsed="false">
      <c r="A19" s="19"/>
      <c r="B19" s="19"/>
      <c r="C19" s="19"/>
      <c r="D19" s="19"/>
      <c r="E19" s="19"/>
      <c r="F19" s="49" t="str">
        <f aca="false">IF(OR(B19="",C19="",D19=""),"",ROUND(B19*C19*D19/6000,2))</f>
        <v/>
      </c>
      <c r="G19" s="49" t="str">
        <f aca="false">IF(F19="","",MAX(F19,IF(E19="",0,E19)))</f>
        <v/>
      </c>
      <c r="H19" s="8" t="str">
        <f aca="false">IF(G19="","",IF(G19&lt;=5.5,"Pequenos",IF(G19&lt;=18,"Medios","Grandes")))</f>
        <v/>
      </c>
      <c r="I19" s="19"/>
      <c r="J19" s="20"/>
      <c r="K19" s="21"/>
      <c r="L19" s="13" t="str">
        <f aca="false">IF(OR(H19="",I19=""),"",INDEX(Ref_Frete!$B$2:$G$54,MATCH(I19,Ref_Frete!$A$2:$A$54,0),IF(H19="Pequenos",2,IF(H19="Medios",4,6))))</f>
        <v/>
      </c>
      <c r="M19" s="13" t="str">
        <f aca="false">IF(OR(H19="",I19=""),"",INDEX(Ref_Frete!$B$2:$G$54,MATCH(I19,Ref_Frete!$A$2:$A$54,0),IF(H19="Pequenos",1,IF(H19="Medios",3,5))))</f>
        <v/>
      </c>
      <c r="N19" s="35" t="str">
        <f aca="false">IF(OR(J19="",K19="",L19="",M19=""),"",ROUND((J19+M19-L19*(1-$E$3))/(1-$E$3-$B$3-K19),2))</f>
        <v/>
      </c>
      <c r="O19" s="51"/>
      <c r="P19" s="20"/>
      <c r="Q19" s="12" t="str">
        <f aca="false">IF(OR(P19="",J19="",L19="",M19=""),"",(P19-$E$3*(P19+L19)-J19-$B$3*P19+L19-M19)/P19)</f>
        <v/>
      </c>
      <c r="R19" s="22" t="str">
        <f aca="false">IF(Q19="","",IF(Q19&lt;0,"PREJUÍZO",IF(Q19&lt;0.1,"CRÍTICO (&lt;10%)",IF(Q19&lt;0.15,"ABAIXO DA META (10-15%)",IF(Q19&lt;=0.2,"DENTRO DA META (15-20%)","ACIMA DA META (&gt;20%)")))))</f>
        <v/>
      </c>
    </row>
    <row r="20" customFormat="false" ht="15" hidden="false" customHeight="true" outlineLevel="0" collapsed="false">
      <c r="A20" s="19"/>
      <c r="B20" s="19"/>
      <c r="C20" s="19"/>
      <c r="D20" s="19"/>
      <c r="E20" s="19"/>
      <c r="F20" s="49" t="str">
        <f aca="false">IF(OR(B20="",C20="",D20=""),"",ROUND(B20*C20*D20/6000,2))</f>
        <v/>
      </c>
      <c r="G20" s="49" t="str">
        <f aca="false">IF(F20="","",MAX(F20,IF(E20="",0,E20)))</f>
        <v/>
      </c>
      <c r="H20" s="8" t="str">
        <f aca="false">IF(G20="","",IF(G20&lt;=5.5,"Pequenos",IF(G20&lt;=18,"Medios","Grandes")))</f>
        <v/>
      </c>
      <c r="I20" s="19"/>
      <c r="J20" s="20"/>
      <c r="K20" s="21"/>
      <c r="L20" s="13" t="str">
        <f aca="false">IF(OR(H20="",I20=""),"",INDEX(Ref_Frete!$B$2:$G$54,MATCH(I20,Ref_Frete!$A$2:$A$54,0),IF(H20="Pequenos",2,IF(H20="Medios",4,6))))</f>
        <v/>
      </c>
      <c r="M20" s="13" t="str">
        <f aca="false">IF(OR(H20="",I20=""),"",INDEX(Ref_Frete!$B$2:$G$54,MATCH(I20,Ref_Frete!$A$2:$A$54,0),IF(H20="Pequenos",1,IF(H20="Medios",3,5))))</f>
        <v/>
      </c>
      <c r="N20" s="35" t="str">
        <f aca="false">IF(OR(J20="",K20="",L20="",M20=""),"",ROUND((J20+M20-L20*(1-$E$3))/(1-$E$3-$B$3-K20),2))</f>
        <v/>
      </c>
      <c r="O20" s="51"/>
      <c r="P20" s="20"/>
      <c r="Q20" s="12" t="str">
        <f aca="false">IF(OR(P20="",J20="",L20="",M20=""),"",(P20-$E$3*(P20+L20)-J20-$B$3*P20+L20-M20)/P20)</f>
        <v/>
      </c>
      <c r="R20" s="22" t="str">
        <f aca="false">IF(Q20="","",IF(Q20&lt;0,"PREJUÍZO",IF(Q20&lt;0.1,"CRÍTICO (&lt;10%)",IF(Q20&lt;0.15,"ABAIXO DA META (10-15%)",IF(Q20&lt;=0.2,"DENTRO DA META (15-20%)","ACIMA DA META (&gt;20%)")))))</f>
        <v/>
      </c>
    </row>
    <row r="21" customFormat="false" ht="15" hidden="false" customHeight="true" outlineLevel="0" collapsed="false">
      <c r="A21" s="19"/>
      <c r="B21" s="19"/>
      <c r="C21" s="19"/>
      <c r="D21" s="19"/>
      <c r="E21" s="19"/>
      <c r="F21" s="49" t="str">
        <f aca="false">IF(OR(B21="",C21="",D21=""),"",ROUND(B21*C21*D21/6000,2))</f>
        <v/>
      </c>
      <c r="G21" s="49" t="str">
        <f aca="false">IF(F21="","",MAX(F21,IF(E21="",0,E21)))</f>
        <v/>
      </c>
      <c r="H21" s="8" t="str">
        <f aca="false">IF(G21="","",IF(G21&lt;=5.5,"Pequenos",IF(G21&lt;=18,"Medios","Grandes")))</f>
        <v/>
      </c>
      <c r="I21" s="19"/>
      <c r="J21" s="20"/>
      <c r="K21" s="21"/>
      <c r="L21" s="13" t="str">
        <f aca="false">IF(OR(H21="",I21=""),"",INDEX(Ref_Frete!$B$2:$G$54,MATCH(I21,Ref_Frete!$A$2:$A$54,0),IF(H21="Pequenos",2,IF(H21="Medios",4,6))))</f>
        <v/>
      </c>
      <c r="M21" s="13" t="str">
        <f aca="false">IF(OR(H21="",I21=""),"",INDEX(Ref_Frete!$B$2:$G$54,MATCH(I21,Ref_Frete!$A$2:$A$54,0),IF(H21="Pequenos",1,IF(H21="Medios",3,5))))</f>
        <v/>
      </c>
      <c r="N21" s="35" t="str">
        <f aca="false">IF(OR(J21="",K21="",L21="",M21=""),"",ROUND((J21+M21-L21*(1-$E$3))/(1-$E$3-$B$3-K21),2))</f>
        <v/>
      </c>
      <c r="O21" s="51"/>
      <c r="P21" s="20"/>
      <c r="Q21" s="12" t="str">
        <f aca="false">IF(OR(P21="",J21="",L21="",M21=""),"",(P21-$E$3*(P21+L21)-J21-$B$3*P21+L21-M21)/P21)</f>
        <v/>
      </c>
      <c r="R21" s="22" t="str">
        <f aca="false">IF(Q21="","",IF(Q21&lt;0,"PREJUÍZO",IF(Q21&lt;0.1,"CRÍTICO (&lt;10%)",IF(Q21&lt;0.15,"ABAIXO DA META (10-15%)",IF(Q21&lt;=0.2,"DENTRO DA META (15-20%)","ACIMA DA META (&gt;20%)")))))</f>
        <v/>
      </c>
    </row>
    <row r="22" customFormat="false" ht="15" hidden="false" customHeight="true" outlineLevel="0" collapsed="false">
      <c r="A22" s="19"/>
      <c r="B22" s="19"/>
      <c r="C22" s="19"/>
      <c r="D22" s="19"/>
      <c r="E22" s="19"/>
      <c r="F22" s="49" t="str">
        <f aca="false">IF(OR(B22="",C22="",D22=""),"",ROUND(B22*C22*D22/6000,2))</f>
        <v/>
      </c>
      <c r="G22" s="49" t="str">
        <f aca="false">IF(F22="","",MAX(F22,IF(E22="",0,E22)))</f>
        <v/>
      </c>
      <c r="H22" s="8" t="str">
        <f aca="false">IF(G22="","",IF(G22&lt;=5.5,"Pequenos",IF(G22&lt;=18,"Medios","Grandes")))</f>
        <v/>
      </c>
      <c r="I22" s="19"/>
      <c r="J22" s="20"/>
      <c r="K22" s="21"/>
      <c r="L22" s="13" t="str">
        <f aca="false">IF(OR(H22="",I22=""),"",INDEX(Ref_Frete!$B$2:$G$54,MATCH(I22,Ref_Frete!$A$2:$A$54,0),IF(H22="Pequenos",2,IF(H22="Medios",4,6))))</f>
        <v/>
      </c>
      <c r="M22" s="13" t="str">
        <f aca="false">IF(OR(H22="",I22=""),"",INDEX(Ref_Frete!$B$2:$G$54,MATCH(I22,Ref_Frete!$A$2:$A$54,0),IF(H22="Pequenos",1,IF(H22="Medios",3,5))))</f>
        <v/>
      </c>
      <c r="N22" s="35" t="str">
        <f aca="false">IF(OR(J22="",K22="",L22="",M22=""),"",ROUND((J22+M22-L22*(1-$E$3))/(1-$E$3-$B$3-K22),2))</f>
        <v/>
      </c>
      <c r="O22" s="51"/>
      <c r="P22" s="20"/>
      <c r="Q22" s="12" t="str">
        <f aca="false">IF(OR(P22="",J22="",L22="",M22=""),"",(P22-$E$3*(P22+L22)-J22-$B$3*P22+L22-M22)/P22)</f>
        <v/>
      </c>
      <c r="R22" s="22" t="str">
        <f aca="false">IF(Q22="","",IF(Q22&lt;0,"PREJUÍZO",IF(Q22&lt;0.1,"CRÍTICO (&lt;10%)",IF(Q22&lt;0.15,"ABAIXO DA META (10-15%)",IF(Q22&lt;=0.2,"DENTRO DA META (15-20%)","ACIMA DA META (&gt;20%)")))))</f>
        <v/>
      </c>
    </row>
    <row r="23" customFormat="false" ht="15" hidden="false" customHeight="true" outlineLevel="0" collapsed="false">
      <c r="A23" s="19"/>
      <c r="B23" s="19"/>
      <c r="C23" s="19"/>
      <c r="D23" s="19"/>
      <c r="E23" s="19"/>
      <c r="F23" s="49" t="str">
        <f aca="false">IF(OR(B23="",C23="",D23=""),"",ROUND(B23*C23*D23/6000,2))</f>
        <v/>
      </c>
      <c r="G23" s="49" t="str">
        <f aca="false">IF(F23="","",MAX(F23,IF(E23="",0,E23)))</f>
        <v/>
      </c>
      <c r="H23" s="8" t="str">
        <f aca="false">IF(G23="","",IF(G23&lt;=5.5,"Pequenos",IF(G23&lt;=18,"Medios","Grandes")))</f>
        <v/>
      </c>
      <c r="I23" s="19"/>
      <c r="J23" s="20"/>
      <c r="K23" s="21"/>
      <c r="L23" s="13" t="str">
        <f aca="false">IF(OR(H23="",I23=""),"",INDEX(Ref_Frete!$B$2:$G$54,MATCH(I23,Ref_Frete!$A$2:$A$54,0),IF(H23="Pequenos",2,IF(H23="Medios",4,6))))</f>
        <v/>
      </c>
      <c r="M23" s="13" t="str">
        <f aca="false">IF(OR(H23="",I23=""),"",INDEX(Ref_Frete!$B$2:$G$54,MATCH(I23,Ref_Frete!$A$2:$A$54,0),IF(H23="Pequenos",1,IF(H23="Medios",3,5))))</f>
        <v/>
      </c>
      <c r="N23" s="35" t="str">
        <f aca="false">IF(OR(J23="",K23="",L23="",M23=""),"",ROUND((J23+M23-L23*(1-$E$3))/(1-$E$3-$B$3-K23),2))</f>
        <v/>
      </c>
      <c r="O23" s="51"/>
      <c r="P23" s="20"/>
      <c r="Q23" s="12" t="str">
        <f aca="false">IF(OR(P23="",J23="",L23="",M23=""),"",(P23-$E$3*(P23+L23)-J23-$B$3*P23+L23-M23)/P23)</f>
        <v/>
      </c>
      <c r="R23" s="22" t="str">
        <f aca="false">IF(Q23="","",IF(Q23&lt;0,"PREJUÍZO",IF(Q23&lt;0.1,"CRÍTICO (&lt;10%)",IF(Q23&lt;0.15,"ABAIXO DA META (10-15%)",IF(Q23&lt;=0.2,"DENTRO DA META (15-20%)","ACIMA DA META (&gt;20%)")))))</f>
        <v/>
      </c>
    </row>
    <row r="24" customFormat="false" ht="15" hidden="false" customHeight="true" outlineLevel="0" collapsed="false">
      <c r="A24" s="19"/>
      <c r="B24" s="19"/>
      <c r="C24" s="19"/>
      <c r="D24" s="19"/>
      <c r="E24" s="19"/>
      <c r="F24" s="49" t="str">
        <f aca="false">IF(OR(B24="",C24="",D24=""),"",ROUND(B24*C24*D24/6000,2))</f>
        <v/>
      </c>
      <c r="G24" s="49" t="str">
        <f aca="false">IF(F24="","",MAX(F24,IF(E24="",0,E24)))</f>
        <v/>
      </c>
      <c r="H24" s="8" t="str">
        <f aca="false">IF(G24="","",IF(G24&lt;=5.5,"Pequenos",IF(G24&lt;=18,"Medios","Grandes")))</f>
        <v/>
      </c>
      <c r="I24" s="19"/>
      <c r="J24" s="20"/>
      <c r="K24" s="21"/>
      <c r="L24" s="13" t="str">
        <f aca="false">IF(OR(H24="",I24=""),"",INDEX(Ref_Frete!$B$2:$G$54,MATCH(I24,Ref_Frete!$A$2:$A$54,0),IF(H24="Pequenos",2,IF(H24="Medios",4,6))))</f>
        <v/>
      </c>
      <c r="M24" s="13" t="str">
        <f aca="false">IF(OR(H24="",I24=""),"",INDEX(Ref_Frete!$B$2:$G$54,MATCH(I24,Ref_Frete!$A$2:$A$54,0),IF(H24="Pequenos",1,IF(H24="Medios",3,5))))</f>
        <v/>
      </c>
      <c r="N24" s="35" t="str">
        <f aca="false">IF(OR(J24="",K24="",L24="",M24=""),"",ROUND((J24+M24-L24*(1-$E$3))/(1-$E$3-$B$3-K24),2))</f>
        <v/>
      </c>
      <c r="O24" s="51"/>
      <c r="P24" s="20"/>
      <c r="Q24" s="12" t="str">
        <f aca="false">IF(OR(P24="",J24="",L24="",M24=""),"",(P24-$E$3*(P24+L24)-J24-$B$3*P24+L24-M24)/P24)</f>
        <v/>
      </c>
      <c r="R24" s="22" t="str">
        <f aca="false">IF(Q24="","",IF(Q24&lt;0,"PREJUÍZO",IF(Q24&lt;0.1,"CRÍTICO (&lt;10%)",IF(Q24&lt;0.15,"ABAIXO DA META (10-15%)",IF(Q24&lt;=0.2,"DENTRO DA META (15-20%)","ACIMA DA META (&gt;20%)")))))</f>
        <v/>
      </c>
    </row>
    <row r="25" customFormat="false" ht="15" hidden="false" customHeight="true" outlineLevel="0" collapsed="false">
      <c r="A25" s="19"/>
      <c r="B25" s="19"/>
      <c r="C25" s="19"/>
      <c r="D25" s="19"/>
      <c r="E25" s="19"/>
      <c r="F25" s="49" t="str">
        <f aca="false">IF(OR(B25="",C25="",D25=""),"",ROUND(B25*C25*D25/6000,2))</f>
        <v/>
      </c>
      <c r="G25" s="49" t="str">
        <f aca="false">IF(F25="","",MAX(F25,IF(E25="",0,E25)))</f>
        <v/>
      </c>
      <c r="H25" s="8" t="str">
        <f aca="false">IF(G25="","",IF(G25&lt;=5.5,"Pequenos",IF(G25&lt;=18,"Medios","Grandes")))</f>
        <v/>
      </c>
      <c r="I25" s="19"/>
      <c r="J25" s="20"/>
      <c r="K25" s="21"/>
      <c r="L25" s="13" t="str">
        <f aca="false">IF(OR(H25="",I25=""),"",INDEX(Ref_Frete!$B$2:$G$54,MATCH(I25,Ref_Frete!$A$2:$A$54,0),IF(H25="Pequenos",2,IF(H25="Medios",4,6))))</f>
        <v/>
      </c>
      <c r="M25" s="13" t="str">
        <f aca="false">IF(OR(H25="",I25=""),"",INDEX(Ref_Frete!$B$2:$G$54,MATCH(I25,Ref_Frete!$A$2:$A$54,0),IF(H25="Pequenos",1,IF(H25="Medios",3,5))))</f>
        <v/>
      </c>
      <c r="N25" s="35" t="str">
        <f aca="false">IF(OR(J25="",K25="",L25="",M25=""),"",ROUND((J25+M25-L25*(1-$E$3))/(1-$E$3-$B$3-K25),2))</f>
        <v/>
      </c>
      <c r="O25" s="51"/>
      <c r="P25" s="20"/>
      <c r="Q25" s="12" t="str">
        <f aca="false">IF(OR(P25="",J25="",L25="",M25=""),"",(P25-$E$3*(P25+L25)-J25-$B$3*P25+L25-M25)/P25)</f>
        <v/>
      </c>
      <c r="R25" s="22" t="str">
        <f aca="false">IF(Q25="","",IF(Q25&lt;0,"PREJUÍZO",IF(Q25&lt;0.1,"CRÍTICO (&lt;10%)",IF(Q25&lt;0.15,"ABAIXO DA META (10-15%)",IF(Q25&lt;=0.2,"DENTRO DA META (15-20%)","ACIMA DA META (&gt;20%)")))))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13"/>
  </cols>
  <sheetData>
    <row r="1" customFormat="false" ht="23.25" hidden="false" customHeight="true" outlineLevel="0" collapsed="false">
      <c r="A1" s="42" t="s">
        <v>82</v>
      </c>
      <c r="B1" s="42" t="s">
        <v>371</v>
      </c>
      <c r="C1" s="42" t="s">
        <v>372</v>
      </c>
      <c r="D1" s="42" t="s">
        <v>373</v>
      </c>
      <c r="E1" s="42" t="s">
        <v>374</v>
      </c>
      <c r="F1" s="42" t="s">
        <v>375</v>
      </c>
      <c r="G1" s="42" t="s">
        <v>376</v>
      </c>
    </row>
    <row r="2" customFormat="false" ht="15" hidden="false" customHeight="true" outlineLevel="0" collapsed="false">
      <c r="A2" s="8" t="s">
        <v>206</v>
      </c>
      <c r="B2" s="13" t="n">
        <v>52</v>
      </c>
      <c r="C2" s="13" t="n">
        <v>52</v>
      </c>
      <c r="D2" s="13" t="n">
        <v>122</v>
      </c>
      <c r="E2" s="13" t="n">
        <v>122</v>
      </c>
      <c r="F2" s="13" t="n">
        <v>320</v>
      </c>
      <c r="G2" s="13" t="n">
        <v>320</v>
      </c>
    </row>
    <row r="3" customFormat="false" ht="15" hidden="false" customHeight="true" outlineLevel="0" collapsed="false">
      <c r="A3" s="8" t="s">
        <v>225</v>
      </c>
      <c r="B3" s="13" t="n">
        <v>42</v>
      </c>
      <c r="C3" s="13" t="n">
        <v>42</v>
      </c>
      <c r="D3" s="13" t="n">
        <v>85</v>
      </c>
      <c r="E3" s="13" t="n">
        <v>85</v>
      </c>
      <c r="F3" s="13" t="n">
        <v>233</v>
      </c>
      <c r="G3" s="13" t="n">
        <v>233</v>
      </c>
    </row>
    <row r="4" customFormat="false" ht="15" hidden="false" customHeight="true" outlineLevel="0" collapsed="false">
      <c r="A4" s="8" t="s">
        <v>377</v>
      </c>
      <c r="B4" s="13" t="n">
        <v>52</v>
      </c>
      <c r="C4" s="13" t="n">
        <v>52</v>
      </c>
      <c r="D4" s="13" t="n">
        <v>110</v>
      </c>
      <c r="E4" s="13" t="n">
        <v>110</v>
      </c>
      <c r="F4" s="13" t="n">
        <v>298</v>
      </c>
      <c r="G4" s="13" t="n">
        <v>298</v>
      </c>
    </row>
    <row r="5" customFormat="false" ht="15" hidden="false" customHeight="true" outlineLevel="0" collapsed="false">
      <c r="A5" s="8" t="s">
        <v>248</v>
      </c>
      <c r="B5" s="13" t="n">
        <v>43</v>
      </c>
      <c r="C5" s="13" t="n">
        <v>43</v>
      </c>
      <c r="D5" s="13" t="n">
        <v>90</v>
      </c>
      <c r="E5" s="13" t="n">
        <v>90</v>
      </c>
      <c r="F5" s="13" t="n">
        <v>232</v>
      </c>
      <c r="G5" s="13" t="n">
        <v>232</v>
      </c>
    </row>
    <row r="6" customFormat="false" ht="15" hidden="false" customHeight="true" outlineLevel="0" collapsed="false">
      <c r="A6" s="8" t="s">
        <v>378</v>
      </c>
      <c r="B6" s="13" t="n">
        <v>68</v>
      </c>
      <c r="C6" s="13" t="n">
        <v>68</v>
      </c>
      <c r="D6" s="13" t="n">
        <v>157</v>
      </c>
      <c r="E6" s="13" t="n">
        <v>157</v>
      </c>
      <c r="F6" s="13" t="n">
        <v>455</v>
      </c>
      <c r="G6" s="13" t="n">
        <v>455</v>
      </c>
    </row>
    <row r="7" customFormat="false" ht="15" hidden="false" customHeight="true" outlineLevel="0" collapsed="false">
      <c r="A7" s="8" t="s">
        <v>379</v>
      </c>
      <c r="B7" s="13" t="n">
        <v>80</v>
      </c>
      <c r="C7" s="13" t="n">
        <v>80</v>
      </c>
      <c r="D7" s="13" t="n">
        <v>160</v>
      </c>
      <c r="E7" s="13" t="n">
        <v>160</v>
      </c>
      <c r="F7" s="13" t="n">
        <v>645</v>
      </c>
      <c r="G7" s="13" t="n">
        <v>645</v>
      </c>
    </row>
    <row r="8" customFormat="false" ht="15" hidden="false" customHeight="true" outlineLevel="0" collapsed="false">
      <c r="A8" s="8" t="s">
        <v>380</v>
      </c>
      <c r="B8" s="13" t="n">
        <v>115</v>
      </c>
      <c r="C8" s="13" t="n">
        <v>115</v>
      </c>
      <c r="D8" s="13" t="n">
        <v>240</v>
      </c>
      <c r="E8" s="13" t="n">
        <v>240</v>
      </c>
      <c r="F8" s="13" t="n">
        <v>740</v>
      </c>
      <c r="G8" s="13" t="n">
        <v>740</v>
      </c>
    </row>
    <row r="9" customFormat="false" ht="15" hidden="false" customHeight="true" outlineLevel="0" collapsed="false">
      <c r="A9" s="8" t="s">
        <v>381</v>
      </c>
      <c r="B9" s="13" t="n">
        <v>90</v>
      </c>
      <c r="C9" s="13" t="n">
        <v>90</v>
      </c>
      <c r="D9" s="13" t="n">
        <v>215</v>
      </c>
      <c r="E9" s="13" t="n">
        <v>215</v>
      </c>
      <c r="F9" s="13" t="n">
        <v>562</v>
      </c>
      <c r="G9" s="13" t="n">
        <v>562</v>
      </c>
    </row>
    <row r="10" customFormat="false" ht="15" hidden="false" customHeight="true" outlineLevel="0" collapsed="false">
      <c r="A10" s="8" t="s">
        <v>382</v>
      </c>
      <c r="B10" s="13" t="n">
        <v>185</v>
      </c>
      <c r="C10" s="13" t="n">
        <v>185</v>
      </c>
      <c r="D10" s="13" t="n">
        <v>425</v>
      </c>
      <c r="E10" s="13" t="n">
        <v>425</v>
      </c>
      <c r="F10" s="13" t="n">
        <v>1120</v>
      </c>
      <c r="G10" s="13" t="n">
        <v>1120</v>
      </c>
    </row>
    <row r="11" customFormat="false" ht="15" hidden="false" customHeight="true" outlineLevel="0" collapsed="false">
      <c r="A11" s="8" t="s">
        <v>383</v>
      </c>
      <c r="B11" s="13" t="n">
        <v>100</v>
      </c>
      <c r="C11" s="13" t="n">
        <v>100</v>
      </c>
      <c r="D11" s="13" t="n">
        <v>260</v>
      </c>
      <c r="E11" s="13" t="n">
        <v>260</v>
      </c>
      <c r="F11" s="13" t="n">
        <v>705</v>
      </c>
      <c r="G11" s="13" t="n">
        <v>705</v>
      </c>
    </row>
    <row r="12" customFormat="false" ht="15" hidden="false" customHeight="true" outlineLevel="0" collapsed="false">
      <c r="A12" s="8" t="s">
        <v>384</v>
      </c>
      <c r="B12" s="13" t="n">
        <v>200</v>
      </c>
      <c r="C12" s="13" t="n">
        <v>200</v>
      </c>
      <c r="D12" s="13" t="n">
        <v>450</v>
      </c>
      <c r="E12" s="13" t="n">
        <v>450</v>
      </c>
      <c r="F12" s="13" t="n">
        <v>1280</v>
      </c>
      <c r="G12" s="13" t="n">
        <v>1280</v>
      </c>
    </row>
    <row r="13" customFormat="false" ht="15" hidden="false" customHeight="true" outlineLevel="0" collapsed="false">
      <c r="A13" s="8" t="s">
        <v>385</v>
      </c>
      <c r="B13" s="13" t="n">
        <v>132</v>
      </c>
      <c r="C13" s="13" t="n">
        <v>132</v>
      </c>
      <c r="D13" s="13" t="n">
        <v>328</v>
      </c>
      <c r="E13" s="13" t="n">
        <v>328</v>
      </c>
      <c r="F13" s="13" t="n">
        <v>845</v>
      </c>
      <c r="G13" s="13" t="n">
        <v>845</v>
      </c>
    </row>
    <row r="14" customFormat="false" ht="15" hidden="false" customHeight="true" outlineLevel="0" collapsed="false">
      <c r="A14" s="8" t="s">
        <v>386</v>
      </c>
      <c r="B14" s="13" t="n">
        <v>230</v>
      </c>
      <c r="C14" s="13" t="n">
        <v>230</v>
      </c>
      <c r="D14" s="13" t="n">
        <v>545</v>
      </c>
      <c r="E14" s="13" t="n">
        <v>545</v>
      </c>
      <c r="F14" s="13" t="n">
        <v>1420</v>
      </c>
      <c r="G14" s="13" t="n">
        <v>1420</v>
      </c>
    </row>
    <row r="15" customFormat="false" ht="15" hidden="false" customHeight="true" outlineLevel="0" collapsed="false">
      <c r="A15" s="8" t="s">
        <v>387</v>
      </c>
      <c r="B15" s="13" t="n">
        <v>80</v>
      </c>
      <c r="C15" s="13" t="n">
        <v>80</v>
      </c>
      <c r="D15" s="13" t="n">
        <v>162</v>
      </c>
      <c r="E15" s="13" t="n">
        <v>162</v>
      </c>
      <c r="F15" s="13" t="n">
        <v>463</v>
      </c>
      <c r="G15" s="13" t="n">
        <v>463</v>
      </c>
    </row>
    <row r="16" customFormat="false" ht="15" hidden="false" customHeight="true" outlineLevel="0" collapsed="false">
      <c r="A16" s="8" t="s">
        <v>388</v>
      </c>
      <c r="B16" s="13" t="n">
        <v>130</v>
      </c>
      <c r="C16" s="13" t="n">
        <v>130</v>
      </c>
      <c r="D16" s="13" t="n">
        <v>295</v>
      </c>
      <c r="E16" s="13" t="n">
        <v>295</v>
      </c>
      <c r="F16" s="13" t="n">
        <v>805</v>
      </c>
      <c r="G16" s="13" t="n">
        <v>805</v>
      </c>
    </row>
    <row r="17" customFormat="false" ht="15" hidden="false" customHeight="true" outlineLevel="0" collapsed="false">
      <c r="A17" s="8" t="s">
        <v>389</v>
      </c>
      <c r="B17" s="13" t="n">
        <v>86</v>
      </c>
      <c r="C17" s="13" t="n">
        <v>86</v>
      </c>
      <c r="D17" s="13" t="n">
        <v>210</v>
      </c>
      <c r="E17" s="13" t="n">
        <v>210</v>
      </c>
      <c r="F17" s="13" t="n">
        <v>560</v>
      </c>
      <c r="G17" s="13" t="n">
        <v>560</v>
      </c>
    </row>
    <row r="18" customFormat="false" ht="15" hidden="false" customHeight="true" outlineLevel="0" collapsed="false">
      <c r="A18" s="8" t="s">
        <v>390</v>
      </c>
      <c r="B18" s="13" t="n">
        <v>185</v>
      </c>
      <c r="C18" s="13" t="n">
        <v>185</v>
      </c>
      <c r="D18" s="13" t="n">
        <v>405</v>
      </c>
      <c r="E18" s="13" t="n">
        <v>405</v>
      </c>
      <c r="F18" s="13" t="n">
        <v>1100</v>
      </c>
      <c r="G18" s="13" t="n">
        <v>1100</v>
      </c>
    </row>
    <row r="19" customFormat="false" ht="15" hidden="false" customHeight="true" outlineLevel="0" collapsed="false">
      <c r="A19" s="8" t="s">
        <v>391</v>
      </c>
      <c r="B19" s="13" t="n">
        <v>128</v>
      </c>
      <c r="C19" s="13" t="n">
        <v>128</v>
      </c>
      <c r="D19" s="13" t="n">
        <v>330</v>
      </c>
      <c r="E19" s="13" t="n">
        <v>330</v>
      </c>
      <c r="F19" s="13" t="n">
        <v>870</v>
      </c>
      <c r="G19" s="13" t="n">
        <v>870</v>
      </c>
    </row>
    <row r="20" customFormat="false" ht="15" hidden="false" customHeight="true" outlineLevel="0" collapsed="false">
      <c r="A20" s="8" t="s">
        <v>392</v>
      </c>
      <c r="B20" s="13" t="n">
        <v>220</v>
      </c>
      <c r="C20" s="13" t="n">
        <v>220</v>
      </c>
      <c r="D20" s="13" t="n">
        <v>620</v>
      </c>
      <c r="E20" s="13" t="n">
        <v>620</v>
      </c>
      <c r="F20" s="13" t="n">
        <v>1410</v>
      </c>
      <c r="G20" s="13" t="n">
        <v>1410</v>
      </c>
    </row>
    <row r="21" customFormat="false" ht="15" hidden="false" customHeight="true" outlineLevel="0" collapsed="false">
      <c r="A21" s="8" t="s">
        <v>393</v>
      </c>
      <c r="B21" s="13" t="n">
        <v>62</v>
      </c>
      <c r="C21" s="13" t="n">
        <v>62</v>
      </c>
      <c r="D21" s="13" t="n">
        <v>110</v>
      </c>
      <c r="E21" s="13" t="n">
        <v>110</v>
      </c>
      <c r="F21" s="13" t="n">
        <v>380</v>
      </c>
      <c r="G21" s="13" t="n">
        <v>380</v>
      </c>
    </row>
    <row r="22" customFormat="false" ht="15" hidden="false" customHeight="true" outlineLevel="0" collapsed="false">
      <c r="A22" s="8" t="s">
        <v>394</v>
      </c>
      <c r="B22" s="13" t="n">
        <v>95</v>
      </c>
      <c r="C22" s="13" t="n">
        <v>95</v>
      </c>
      <c r="D22" s="13" t="n">
        <v>175</v>
      </c>
      <c r="E22" s="13" t="n">
        <v>175</v>
      </c>
      <c r="F22" s="13" t="n">
        <v>525</v>
      </c>
      <c r="G22" s="13" t="n">
        <v>525</v>
      </c>
    </row>
    <row r="23" customFormat="false" ht="15" hidden="false" customHeight="true" outlineLevel="0" collapsed="false">
      <c r="A23" s="8" t="s">
        <v>395</v>
      </c>
      <c r="B23" s="13" t="n">
        <v>66</v>
      </c>
      <c r="C23" s="13" t="n">
        <v>66</v>
      </c>
      <c r="D23" s="13" t="n">
        <v>132</v>
      </c>
      <c r="E23" s="13" t="n">
        <v>132</v>
      </c>
      <c r="F23" s="13" t="n">
        <v>373</v>
      </c>
      <c r="G23" s="13" t="n">
        <v>373</v>
      </c>
    </row>
    <row r="24" customFormat="false" ht="15" hidden="false" customHeight="true" outlineLevel="0" collapsed="false">
      <c r="A24" s="8" t="s">
        <v>245</v>
      </c>
      <c r="B24" s="13" t="n">
        <v>165</v>
      </c>
      <c r="C24" s="13" t="n">
        <v>165</v>
      </c>
      <c r="D24" s="13" t="n">
        <v>340</v>
      </c>
      <c r="E24" s="13" t="n">
        <v>340</v>
      </c>
      <c r="F24" s="13" t="n">
        <v>1015</v>
      </c>
      <c r="G24" s="13" t="n">
        <v>1015</v>
      </c>
    </row>
    <row r="25" customFormat="false" ht="15" hidden="false" customHeight="true" outlineLevel="0" collapsed="false">
      <c r="A25" s="8" t="s">
        <v>228</v>
      </c>
      <c r="B25" s="13" t="n">
        <v>66</v>
      </c>
      <c r="C25" s="13" t="n">
        <v>66</v>
      </c>
      <c r="D25" s="13" t="n">
        <v>118</v>
      </c>
      <c r="E25" s="13" t="n">
        <v>118</v>
      </c>
      <c r="F25" s="13" t="n">
        <v>368</v>
      </c>
      <c r="G25" s="13" t="n">
        <v>368</v>
      </c>
    </row>
    <row r="26" customFormat="false" ht="15" hidden="false" customHeight="true" outlineLevel="0" collapsed="false">
      <c r="A26" s="8" t="s">
        <v>396</v>
      </c>
      <c r="B26" s="13" t="n">
        <v>67</v>
      </c>
      <c r="C26" s="13" t="n">
        <v>67</v>
      </c>
      <c r="D26" s="13" t="n">
        <v>142</v>
      </c>
      <c r="E26" s="13" t="n">
        <v>142</v>
      </c>
      <c r="F26" s="13" t="n">
        <v>362</v>
      </c>
      <c r="G26" s="13" t="n">
        <v>362</v>
      </c>
    </row>
    <row r="27" customFormat="false" ht="15" hidden="false" customHeight="true" outlineLevel="0" collapsed="false">
      <c r="A27" s="8" t="s">
        <v>231</v>
      </c>
      <c r="B27" s="13" t="n">
        <v>70</v>
      </c>
      <c r="C27" s="13" t="n">
        <v>70</v>
      </c>
      <c r="D27" s="13" t="n">
        <v>158</v>
      </c>
      <c r="E27" s="13" t="n">
        <v>158</v>
      </c>
      <c r="F27" s="13" t="n">
        <v>423</v>
      </c>
      <c r="G27" s="13" t="n">
        <v>423</v>
      </c>
    </row>
    <row r="28" customFormat="false" ht="15" hidden="false" customHeight="true" outlineLevel="0" collapsed="false">
      <c r="A28" s="8" t="s">
        <v>397</v>
      </c>
      <c r="B28" s="13" t="n">
        <v>103</v>
      </c>
      <c r="C28" s="13" t="n">
        <v>103</v>
      </c>
      <c r="D28" s="13" t="n">
        <v>198</v>
      </c>
      <c r="E28" s="13" t="n">
        <v>198</v>
      </c>
      <c r="F28" s="13" t="n">
        <v>598</v>
      </c>
      <c r="G28" s="13" t="n">
        <v>598</v>
      </c>
    </row>
    <row r="29" customFormat="false" ht="15" hidden="false" customHeight="true" outlineLevel="0" collapsed="false">
      <c r="A29" s="8" t="s">
        <v>398</v>
      </c>
      <c r="B29" s="13" t="n">
        <v>82</v>
      </c>
      <c r="C29" s="13" t="n">
        <v>82</v>
      </c>
      <c r="D29" s="13" t="n">
        <v>161</v>
      </c>
      <c r="E29" s="13" t="n">
        <v>161</v>
      </c>
      <c r="F29" s="13" t="n">
        <v>446</v>
      </c>
      <c r="G29" s="13" t="n">
        <v>446</v>
      </c>
    </row>
    <row r="30" customFormat="false" ht="15" hidden="false" customHeight="true" outlineLevel="0" collapsed="false">
      <c r="A30" s="8" t="s">
        <v>399</v>
      </c>
      <c r="B30" s="13" t="n">
        <v>145</v>
      </c>
      <c r="C30" s="13" t="n">
        <v>145</v>
      </c>
      <c r="D30" s="13" t="n">
        <v>285</v>
      </c>
      <c r="E30" s="13" t="n">
        <v>285</v>
      </c>
      <c r="F30" s="13" t="n">
        <v>755</v>
      </c>
      <c r="G30" s="13" t="n">
        <v>755</v>
      </c>
    </row>
    <row r="31" customFormat="false" ht="15" hidden="false" customHeight="true" outlineLevel="0" collapsed="false">
      <c r="A31" s="8" t="s">
        <v>246</v>
      </c>
      <c r="B31" s="13" t="n">
        <v>70</v>
      </c>
      <c r="C31" s="13" t="n">
        <v>70</v>
      </c>
      <c r="D31" s="13" t="n">
        <v>157</v>
      </c>
      <c r="E31" s="13" t="n">
        <v>157</v>
      </c>
      <c r="F31" s="13" t="n">
        <v>422</v>
      </c>
      <c r="G31" s="13" t="n">
        <v>422</v>
      </c>
    </row>
    <row r="32" customFormat="false" ht="15" hidden="false" customHeight="true" outlineLevel="0" collapsed="false">
      <c r="A32" s="8" t="s">
        <v>400</v>
      </c>
      <c r="B32" s="13" t="n">
        <v>125</v>
      </c>
      <c r="C32" s="13" t="n">
        <v>125</v>
      </c>
      <c r="D32" s="13" t="n">
        <v>250</v>
      </c>
      <c r="E32" s="13" t="n">
        <v>250</v>
      </c>
      <c r="F32" s="13" t="n">
        <v>697</v>
      </c>
      <c r="G32" s="13" t="n">
        <v>697</v>
      </c>
    </row>
    <row r="33" customFormat="false" ht="15" hidden="false" customHeight="true" outlineLevel="0" collapsed="false">
      <c r="A33" s="8" t="s">
        <v>239</v>
      </c>
      <c r="B33" s="13" t="n">
        <v>70</v>
      </c>
      <c r="C33" s="13" t="n">
        <v>70</v>
      </c>
      <c r="D33" s="13" t="n">
        <v>153</v>
      </c>
      <c r="E33" s="13" t="n">
        <v>153</v>
      </c>
      <c r="F33" s="13" t="n">
        <v>402</v>
      </c>
      <c r="G33" s="13" t="n">
        <v>402</v>
      </c>
    </row>
    <row r="34" customFormat="false" ht="15" hidden="false" customHeight="true" outlineLevel="0" collapsed="false">
      <c r="A34" s="8" t="s">
        <v>401</v>
      </c>
      <c r="B34" s="13" t="n">
        <v>96</v>
      </c>
      <c r="C34" s="13" t="n">
        <v>96</v>
      </c>
      <c r="D34" s="13" t="n">
        <v>208</v>
      </c>
      <c r="E34" s="13" t="n">
        <v>208</v>
      </c>
      <c r="F34" s="13" t="n">
        <v>576</v>
      </c>
      <c r="G34" s="13" t="n">
        <v>576</v>
      </c>
    </row>
    <row r="35" customFormat="false" ht="15" hidden="false" customHeight="true" outlineLevel="0" collapsed="false">
      <c r="A35" s="8" t="s">
        <v>402</v>
      </c>
      <c r="B35" s="13" t="n">
        <v>80</v>
      </c>
      <c r="C35" s="13" t="n">
        <v>80</v>
      </c>
      <c r="D35" s="13" t="n">
        <v>170</v>
      </c>
      <c r="E35" s="13" t="n">
        <v>170</v>
      </c>
      <c r="F35" s="13" t="n">
        <v>428</v>
      </c>
      <c r="G35" s="13" t="n">
        <v>428</v>
      </c>
    </row>
    <row r="36" customFormat="false" ht="15" hidden="false" customHeight="true" outlineLevel="0" collapsed="false">
      <c r="A36" s="8" t="s">
        <v>403</v>
      </c>
      <c r="B36" s="13" t="n">
        <v>129</v>
      </c>
      <c r="C36" s="13" t="n">
        <v>129</v>
      </c>
      <c r="D36" s="13" t="n">
        <v>315</v>
      </c>
      <c r="E36" s="13" t="n">
        <v>315</v>
      </c>
      <c r="F36" s="13" t="n">
        <v>770</v>
      </c>
      <c r="G36" s="13" t="n">
        <v>770</v>
      </c>
    </row>
    <row r="37" customFormat="false" ht="15" hidden="false" customHeight="true" outlineLevel="0" collapsed="false">
      <c r="A37" s="8" t="s">
        <v>221</v>
      </c>
      <c r="B37" s="13" t="n">
        <v>77</v>
      </c>
      <c r="C37" s="13" t="n">
        <v>77</v>
      </c>
      <c r="D37" s="13" t="n">
        <v>185</v>
      </c>
      <c r="E37" s="13" t="n">
        <v>185</v>
      </c>
      <c r="F37" s="13" t="n">
        <v>480</v>
      </c>
      <c r="G37" s="13" t="n">
        <v>480</v>
      </c>
    </row>
    <row r="38" customFormat="false" ht="15" hidden="false" customHeight="true" outlineLevel="0" collapsed="false">
      <c r="A38" s="8" t="s">
        <v>404</v>
      </c>
      <c r="B38" s="13" t="n">
        <v>140</v>
      </c>
      <c r="C38" s="13" t="n">
        <v>140</v>
      </c>
      <c r="D38" s="13" t="n">
        <v>285</v>
      </c>
      <c r="E38" s="13" t="n">
        <v>285</v>
      </c>
      <c r="F38" s="13" t="n">
        <v>755</v>
      </c>
      <c r="G38" s="13" t="n">
        <v>755</v>
      </c>
    </row>
    <row r="39" customFormat="false" ht="15" hidden="false" customHeight="true" outlineLevel="0" collapsed="false">
      <c r="A39" s="8" t="s">
        <v>405</v>
      </c>
      <c r="B39" s="13" t="n">
        <v>66</v>
      </c>
      <c r="C39" s="13" t="n">
        <v>66</v>
      </c>
      <c r="D39" s="13" t="n">
        <v>135</v>
      </c>
      <c r="E39" s="13" t="n">
        <v>135</v>
      </c>
      <c r="F39" s="13" t="n">
        <v>390</v>
      </c>
      <c r="G39" s="13" t="n">
        <v>390</v>
      </c>
    </row>
    <row r="40" customFormat="false" ht="15" hidden="false" customHeight="true" outlineLevel="0" collapsed="false">
      <c r="A40" s="8" t="s">
        <v>406</v>
      </c>
      <c r="B40" s="13" t="n">
        <v>115</v>
      </c>
      <c r="C40" s="13" t="n">
        <v>115</v>
      </c>
      <c r="D40" s="13" t="n">
        <v>245</v>
      </c>
      <c r="E40" s="13" t="n">
        <v>245</v>
      </c>
      <c r="F40" s="13" t="n">
        <v>656</v>
      </c>
      <c r="G40" s="13" t="n">
        <v>656</v>
      </c>
    </row>
    <row r="41" customFormat="false" ht="15" hidden="false" customHeight="true" outlineLevel="0" collapsed="false">
      <c r="A41" s="8" t="s">
        <v>213</v>
      </c>
      <c r="B41" s="13" t="n">
        <v>37</v>
      </c>
      <c r="C41" s="13" t="n">
        <v>24.9</v>
      </c>
      <c r="D41" s="13" t="n">
        <v>68</v>
      </c>
      <c r="E41" s="13" t="n">
        <v>59.9</v>
      </c>
      <c r="F41" s="13" t="n">
        <v>180</v>
      </c>
      <c r="G41" s="13" t="n">
        <v>180</v>
      </c>
    </row>
    <row r="42" customFormat="false" ht="15" hidden="false" customHeight="true" outlineLevel="0" collapsed="false">
      <c r="A42" s="8" t="s">
        <v>407</v>
      </c>
      <c r="B42" s="13" t="n">
        <v>45</v>
      </c>
      <c r="C42" s="13" t="n">
        <v>29.9</v>
      </c>
      <c r="D42" s="13" t="n">
        <v>80</v>
      </c>
      <c r="E42" s="13" t="n">
        <v>69.9</v>
      </c>
      <c r="F42" s="13" t="n">
        <v>211</v>
      </c>
      <c r="G42" s="13" t="n">
        <v>211</v>
      </c>
    </row>
    <row r="43" customFormat="false" ht="15" hidden="false" customHeight="true" outlineLevel="0" collapsed="false">
      <c r="A43" s="8" t="s">
        <v>97</v>
      </c>
      <c r="B43" s="13" t="n">
        <v>46.5</v>
      </c>
      <c r="C43" s="13" t="n">
        <v>24.9</v>
      </c>
      <c r="D43" s="13" t="n">
        <v>89</v>
      </c>
      <c r="E43" s="13" t="n">
        <v>59.9</v>
      </c>
      <c r="F43" s="13" t="n">
        <v>233</v>
      </c>
      <c r="G43" s="13" t="n">
        <v>233</v>
      </c>
    </row>
    <row r="44" customFormat="false" ht="15" hidden="false" customHeight="true" outlineLevel="0" collapsed="false">
      <c r="A44" s="8" t="s">
        <v>408</v>
      </c>
      <c r="B44" s="13" t="n">
        <v>50</v>
      </c>
      <c r="C44" s="13" t="n">
        <v>29.9</v>
      </c>
      <c r="D44" s="13" t="n">
        <v>100</v>
      </c>
      <c r="E44" s="13" t="n">
        <v>69.9</v>
      </c>
      <c r="F44" s="13" t="n">
        <v>246</v>
      </c>
      <c r="G44" s="13" t="n">
        <v>246</v>
      </c>
    </row>
    <row r="45" customFormat="false" ht="15" hidden="false" customHeight="true" outlineLevel="0" collapsed="false">
      <c r="A45" s="8" t="s">
        <v>409</v>
      </c>
      <c r="B45" s="13" t="n">
        <v>40</v>
      </c>
      <c r="C45" s="13" t="n">
        <v>24.9</v>
      </c>
      <c r="D45" s="13" t="n">
        <v>78</v>
      </c>
      <c r="E45" s="13" t="n">
        <v>59.9</v>
      </c>
      <c r="F45" s="13" t="n">
        <v>199</v>
      </c>
      <c r="G45" s="13" t="n">
        <v>199</v>
      </c>
    </row>
    <row r="46" customFormat="false" ht="15" hidden="false" customHeight="true" outlineLevel="0" collapsed="false">
      <c r="A46" s="8" t="s">
        <v>410</v>
      </c>
      <c r="B46" s="13" t="n">
        <v>45</v>
      </c>
      <c r="C46" s="13" t="n">
        <v>29.9</v>
      </c>
      <c r="D46" s="13" t="n">
        <v>85</v>
      </c>
      <c r="E46" s="13" t="n">
        <v>69.9</v>
      </c>
      <c r="F46" s="13" t="n">
        <v>208</v>
      </c>
      <c r="G46" s="13" t="n">
        <v>208</v>
      </c>
    </row>
    <row r="47" customFormat="false" ht="15" hidden="false" customHeight="true" outlineLevel="0" collapsed="false">
      <c r="A47" s="8" t="s">
        <v>411</v>
      </c>
      <c r="B47" s="13" t="n">
        <v>45</v>
      </c>
      <c r="C47" s="13" t="n">
        <v>24.9</v>
      </c>
      <c r="D47" s="13" t="n">
        <v>93</v>
      </c>
      <c r="E47" s="13" t="n">
        <v>59.9</v>
      </c>
      <c r="F47" s="13" t="n">
        <v>224</v>
      </c>
      <c r="G47" s="13" t="n">
        <v>224</v>
      </c>
    </row>
    <row r="48" customFormat="false" ht="15" hidden="false" customHeight="true" outlineLevel="0" collapsed="false">
      <c r="A48" s="8" t="s">
        <v>412</v>
      </c>
      <c r="B48" s="13" t="n">
        <v>80</v>
      </c>
      <c r="C48" s="13" t="n">
        <v>29.9</v>
      </c>
      <c r="D48" s="13" t="n">
        <v>108</v>
      </c>
      <c r="E48" s="13" t="n">
        <v>69.9</v>
      </c>
      <c r="F48" s="13" t="n">
        <v>274</v>
      </c>
      <c r="G48" s="13" t="n">
        <v>274</v>
      </c>
    </row>
    <row r="49" customFormat="false" ht="15" hidden="false" customHeight="true" outlineLevel="0" collapsed="false">
      <c r="A49" s="8" t="s">
        <v>247</v>
      </c>
      <c r="B49" s="13" t="n">
        <v>38</v>
      </c>
      <c r="C49" s="13" t="n">
        <v>24.9</v>
      </c>
      <c r="D49" s="13" t="n">
        <v>72</v>
      </c>
      <c r="E49" s="13" t="n">
        <v>59.9</v>
      </c>
      <c r="F49" s="13" t="n">
        <v>274</v>
      </c>
      <c r="G49" s="13" t="n">
        <v>274</v>
      </c>
    </row>
    <row r="50" customFormat="false" ht="15" hidden="false" customHeight="true" outlineLevel="0" collapsed="false">
      <c r="A50" s="8" t="s">
        <v>208</v>
      </c>
      <c r="B50" s="13" t="n">
        <v>53</v>
      </c>
      <c r="C50" s="13" t="n">
        <v>29.9</v>
      </c>
      <c r="D50" s="13" t="n">
        <v>85</v>
      </c>
      <c r="E50" s="13" t="n">
        <v>69.9</v>
      </c>
      <c r="F50" s="13" t="n">
        <v>213</v>
      </c>
      <c r="G50" s="13" t="n">
        <v>213</v>
      </c>
    </row>
    <row r="51" customFormat="false" ht="15" hidden="false" customHeight="true" outlineLevel="0" collapsed="false">
      <c r="A51" s="8" t="s">
        <v>215</v>
      </c>
      <c r="B51" s="13" t="n">
        <v>39</v>
      </c>
      <c r="C51" s="13" t="n">
        <v>24.9</v>
      </c>
      <c r="D51" s="13" t="n">
        <v>65</v>
      </c>
      <c r="E51" s="13" t="n">
        <v>59.9</v>
      </c>
      <c r="F51" s="13" t="n">
        <v>178</v>
      </c>
      <c r="G51" s="13" t="n">
        <v>178</v>
      </c>
    </row>
    <row r="52" customFormat="false" ht="15" hidden="false" customHeight="true" outlineLevel="0" collapsed="false">
      <c r="A52" s="8" t="s">
        <v>241</v>
      </c>
      <c r="B52" s="13" t="n">
        <v>58</v>
      </c>
      <c r="C52" s="13" t="n">
        <v>29.9</v>
      </c>
      <c r="D52" s="13" t="n">
        <v>92</v>
      </c>
      <c r="E52" s="13" t="n">
        <v>69.9</v>
      </c>
      <c r="F52" s="13" t="n">
        <v>234</v>
      </c>
      <c r="G52" s="13" t="n">
        <v>234</v>
      </c>
    </row>
    <row r="53" customFormat="false" ht="15" hidden="false" customHeight="true" outlineLevel="0" collapsed="false">
      <c r="A53" s="8" t="s">
        <v>211</v>
      </c>
      <c r="B53" s="13" t="n">
        <v>24</v>
      </c>
      <c r="C53" s="13" t="n">
        <v>12.9</v>
      </c>
      <c r="D53" s="13" t="n">
        <v>49</v>
      </c>
      <c r="E53" s="13" t="n">
        <v>34.9</v>
      </c>
      <c r="F53" s="13" t="n">
        <v>106</v>
      </c>
      <c r="G53" s="13" t="n">
        <v>106</v>
      </c>
    </row>
    <row r="54" customFormat="false" ht="15" hidden="false" customHeight="true" outlineLevel="0" collapsed="false">
      <c r="A54" s="8" t="s">
        <v>98</v>
      </c>
      <c r="B54" s="13" t="n">
        <v>30</v>
      </c>
      <c r="C54" s="13" t="n">
        <v>16.9</v>
      </c>
      <c r="D54" s="13" t="n">
        <v>49</v>
      </c>
      <c r="E54" s="13" t="n">
        <v>39.9</v>
      </c>
      <c r="F54" s="13" t="n">
        <v>120</v>
      </c>
      <c r="G54" s="13" t="n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4" topLeftCell="A95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8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8" min="8" style="1" width="55"/>
  </cols>
  <sheetData>
    <row r="1" customFormat="false" ht="16.5" hidden="false" customHeight="true" outlineLevel="0" collapsed="false">
      <c r="A1" s="2" t="s">
        <v>413</v>
      </c>
    </row>
    <row r="2" customFormat="false" ht="15" hidden="false" customHeight="true" outlineLevel="0" collapsed="false">
      <c r="A2" s="5" t="s">
        <v>414</v>
      </c>
    </row>
    <row r="4" customFormat="false" ht="38.25" hidden="false" customHeight="true" outlineLevel="0" collapsed="false">
      <c r="A4" s="18" t="s">
        <v>27</v>
      </c>
      <c r="B4" s="18" t="s">
        <v>415</v>
      </c>
      <c r="C4" s="18" t="s">
        <v>416</v>
      </c>
      <c r="D4" s="18" t="s">
        <v>361</v>
      </c>
      <c r="E4" s="18" t="s">
        <v>362</v>
      </c>
      <c r="F4" s="18" t="s">
        <v>363</v>
      </c>
      <c r="G4" s="18" t="s">
        <v>417</v>
      </c>
      <c r="H4" s="18" t="s">
        <v>94</v>
      </c>
    </row>
    <row r="5" customFormat="false" ht="26.25" hidden="false" customHeight="true" outlineLevel="0" collapsed="false">
      <c r="A5" s="8" t="s">
        <v>112</v>
      </c>
      <c r="B5" s="8" t="s">
        <v>418</v>
      </c>
      <c r="C5" s="8" t="s">
        <v>419</v>
      </c>
      <c r="D5" s="8" t="n">
        <v>3</v>
      </c>
      <c r="E5" s="8" t="n">
        <v>5.21</v>
      </c>
      <c r="F5" s="8" t="n">
        <v>5.21</v>
      </c>
      <c r="G5" s="7" t="s">
        <v>420</v>
      </c>
      <c r="H5" s="52" t="s">
        <v>421</v>
      </c>
    </row>
    <row r="6" customFormat="false" ht="26.25" hidden="false" customHeight="true" outlineLevel="0" collapsed="false">
      <c r="A6" s="8" t="s">
        <v>113</v>
      </c>
      <c r="B6" s="8" t="s">
        <v>422</v>
      </c>
      <c r="C6" s="8" t="s">
        <v>419</v>
      </c>
      <c r="D6" s="8" t="n">
        <v>3</v>
      </c>
      <c r="E6" s="8" t="n">
        <v>5.21</v>
      </c>
      <c r="F6" s="8" t="n">
        <v>5.21</v>
      </c>
      <c r="G6" s="7" t="s">
        <v>420</v>
      </c>
      <c r="H6" s="52" t="s">
        <v>421</v>
      </c>
    </row>
    <row r="7" customFormat="false" ht="26.25" hidden="false" customHeight="true" outlineLevel="0" collapsed="false">
      <c r="A7" s="8" t="s">
        <v>114</v>
      </c>
      <c r="B7" s="8" t="s">
        <v>423</v>
      </c>
      <c r="C7" s="8" t="s">
        <v>419</v>
      </c>
      <c r="D7" s="8" t="n">
        <v>3</v>
      </c>
      <c r="E7" s="8" t="n">
        <v>5.21</v>
      </c>
      <c r="F7" s="8" t="n">
        <v>5.21</v>
      </c>
      <c r="G7" s="7" t="s">
        <v>420</v>
      </c>
      <c r="H7" s="52" t="s">
        <v>421</v>
      </c>
    </row>
    <row r="8" customFormat="false" ht="26.25" hidden="false" customHeight="true" outlineLevel="0" collapsed="false">
      <c r="A8" s="8" t="s">
        <v>116</v>
      </c>
      <c r="B8" s="8" t="s">
        <v>424</v>
      </c>
      <c r="C8" s="8" t="s">
        <v>419</v>
      </c>
      <c r="D8" s="8" t="n">
        <v>3</v>
      </c>
      <c r="E8" s="8" t="n">
        <v>5.21</v>
      </c>
      <c r="F8" s="8" t="n">
        <v>5.21</v>
      </c>
      <c r="G8" s="7" t="s">
        <v>420</v>
      </c>
      <c r="H8" s="52" t="s">
        <v>421</v>
      </c>
    </row>
    <row r="9" customFormat="false" ht="26.25" hidden="false" customHeight="true" outlineLevel="0" collapsed="false">
      <c r="A9" s="8" t="s">
        <v>38</v>
      </c>
      <c r="B9" s="8" t="s">
        <v>425</v>
      </c>
      <c r="C9" s="8" t="s">
        <v>419</v>
      </c>
      <c r="D9" s="8" t="n">
        <v>3</v>
      </c>
      <c r="E9" s="8" t="n">
        <v>5.21</v>
      </c>
      <c r="F9" s="8" t="n">
        <v>5.21</v>
      </c>
      <c r="G9" s="7" t="s">
        <v>420</v>
      </c>
      <c r="H9" s="52" t="s">
        <v>421</v>
      </c>
    </row>
    <row r="10" customFormat="false" ht="26.25" hidden="false" customHeight="true" outlineLevel="0" collapsed="false">
      <c r="A10" s="8" t="s">
        <v>117</v>
      </c>
      <c r="B10" s="8" t="s">
        <v>426</v>
      </c>
      <c r="C10" s="8" t="s">
        <v>419</v>
      </c>
      <c r="D10" s="8" t="n">
        <v>3</v>
      </c>
      <c r="E10" s="8" t="n">
        <v>5.21</v>
      </c>
      <c r="F10" s="8" t="n">
        <v>5.21</v>
      </c>
      <c r="G10" s="7" t="s">
        <v>420</v>
      </c>
      <c r="H10" s="52" t="s">
        <v>421</v>
      </c>
    </row>
    <row r="11" customFormat="false" ht="26.25" hidden="false" customHeight="true" outlineLevel="0" collapsed="false">
      <c r="A11" s="8" t="s">
        <v>115</v>
      </c>
      <c r="B11" s="8" t="s">
        <v>427</v>
      </c>
      <c r="C11" s="8" t="s">
        <v>419</v>
      </c>
      <c r="D11" s="8" t="n">
        <v>3</v>
      </c>
      <c r="E11" s="8" t="n">
        <v>5.21</v>
      </c>
      <c r="F11" s="8" t="n">
        <v>5.21</v>
      </c>
      <c r="G11" s="7" t="s">
        <v>420</v>
      </c>
      <c r="H11" s="52" t="s">
        <v>421</v>
      </c>
    </row>
    <row r="12" customFormat="false" ht="26.25" hidden="false" customHeight="true" outlineLevel="0" collapsed="false">
      <c r="A12" s="8" t="s">
        <v>123</v>
      </c>
      <c r="B12" s="8" t="s">
        <v>428</v>
      </c>
      <c r="C12" s="8" t="s">
        <v>419</v>
      </c>
      <c r="D12" s="8" t="n">
        <v>3</v>
      </c>
      <c r="E12" s="8" t="n">
        <v>5.21</v>
      </c>
      <c r="F12" s="8" t="n">
        <v>5.21</v>
      </c>
      <c r="G12" s="7" t="s">
        <v>420</v>
      </c>
      <c r="H12" s="52" t="s">
        <v>421</v>
      </c>
    </row>
    <row r="13" customFormat="false" ht="26.25" hidden="false" customHeight="true" outlineLevel="0" collapsed="false">
      <c r="A13" s="8" t="s">
        <v>124</v>
      </c>
      <c r="B13" s="8" t="s">
        <v>429</v>
      </c>
      <c r="C13" s="8" t="s">
        <v>419</v>
      </c>
      <c r="D13" s="8" t="n">
        <v>3</v>
      </c>
      <c r="E13" s="8" t="n">
        <v>5.21</v>
      </c>
      <c r="F13" s="8" t="n">
        <v>5.21</v>
      </c>
      <c r="G13" s="7" t="s">
        <v>420</v>
      </c>
      <c r="H13" s="52" t="s">
        <v>421</v>
      </c>
    </row>
    <row r="14" customFormat="false" ht="15" hidden="false" customHeight="true" outlineLevel="0" collapsed="false">
      <c r="A14" s="8" t="s">
        <v>103</v>
      </c>
      <c r="B14" s="8" t="s">
        <v>430</v>
      </c>
      <c r="C14" s="8" t="s">
        <v>431</v>
      </c>
      <c r="D14" s="8" t="n">
        <v>3</v>
      </c>
      <c r="E14" s="8" t="n">
        <v>4.61</v>
      </c>
      <c r="F14" s="8" t="n">
        <v>4.61</v>
      </c>
      <c r="G14" s="7" t="s">
        <v>420</v>
      </c>
      <c r="H14" s="52"/>
    </row>
    <row r="15" customFormat="false" ht="26.25" hidden="false" customHeight="true" outlineLevel="0" collapsed="false">
      <c r="A15" s="8" t="s">
        <v>125</v>
      </c>
      <c r="B15" s="8" t="s">
        <v>432</v>
      </c>
      <c r="C15" s="8" t="s">
        <v>433</v>
      </c>
      <c r="D15" s="8" t="n">
        <v>2.5</v>
      </c>
      <c r="E15" s="8" t="n">
        <v>3.5</v>
      </c>
      <c r="F15" s="8" t="n">
        <v>3.5</v>
      </c>
      <c r="G15" s="7" t="s">
        <v>420</v>
      </c>
      <c r="H15" s="52" t="s">
        <v>434</v>
      </c>
    </row>
    <row r="16" customFormat="false" ht="15" hidden="false" customHeight="true" outlineLevel="0" collapsed="false">
      <c r="A16" s="8" t="s">
        <v>46</v>
      </c>
      <c r="B16" s="8" t="s">
        <v>435</v>
      </c>
      <c r="C16" s="8" t="s">
        <v>436</v>
      </c>
      <c r="D16" s="8" t="n">
        <v>2</v>
      </c>
      <c r="E16" s="8" t="n">
        <v>3.12</v>
      </c>
      <c r="F16" s="8" t="n">
        <v>3.12</v>
      </c>
      <c r="G16" s="7" t="s">
        <v>420</v>
      </c>
      <c r="H16" s="52"/>
    </row>
    <row r="17" customFormat="false" ht="15" hidden="false" customHeight="true" outlineLevel="0" collapsed="false">
      <c r="A17" s="8" t="s">
        <v>107</v>
      </c>
      <c r="B17" s="8" t="s">
        <v>437</v>
      </c>
      <c r="C17" s="8" t="s">
        <v>436</v>
      </c>
      <c r="D17" s="8" t="n">
        <v>2</v>
      </c>
      <c r="E17" s="8" t="n">
        <v>3.12</v>
      </c>
      <c r="F17" s="8" t="n">
        <v>3.12</v>
      </c>
      <c r="G17" s="7" t="s">
        <v>420</v>
      </c>
      <c r="H17" s="52"/>
    </row>
    <row r="18" customFormat="false" ht="15" hidden="false" customHeight="true" outlineLevel="0" collapsed="false">
      <c r="A18" s="8" t="s">
        <v>108</v>
      </c>
      <c r="B18" s="8" t="s">
        <v>438</v>
      </c>
      <c r="C18" s="8" t="s">
        <v>436</v>
      </c>
      <c r="D18" s="8" t="n">
        <v>2</v>
      </c>
      <c r="E18" s="8" t="n">
        <v>3.12</v>
      </c>
      <c r="F18" s="8" t="n">
        <v>3.12</v>
      </c>
      <c r="G18" s="7" t="s">
        <v>420</v>
      </c>
      <c r="H18" s="52"/>
    </row>
    <row r="19" customFormat="false" ht="15" hidden="false" customHeight="true" outlineLevel="0" collapsed="false">
      <c r="A19" s="8" t="s">
        <v>109</v>
      </c>
      <c r="B19" s="8" t="s">
        <v>439</v>
      </c>
      <c r="C19" s="8" t="s">
        <v>436</v>
      </c>
      <c r="D19" s="8" t="n">
        <v>2</v>
      </c>
      <c r="E19" s="8" t="n">
        <v>3.12</v>
      </c>
      <c r="F19" s="8" t="n">
        <v>3.12</v>
      </c>
      <c r="G19" s="7" t="s">
        <v>420</v>
      </c>
      <c r="H19" s="52"/>
    </row>
    <row r="20" customFormat="false" ht="15" hidden="false" customHeight="true" outlineLevel="0" collapsed="false">
      <c r="A20" s="8" t="s">
        <v>110</v>
      </c>
      <c r="B20" s="8" t="s">
        <v>440</v>
      </c>
      <c r="C20" s="8" t="s">
        <v>436</v>
      </c>
      <c r="D20" s="8" t="n">
        <v>2</v>
      </c>
      <c r="E20" s="8" t="n">
        <v>3.12</v>
      </c>
      <c r="F20" s="8" t="n">
        <v>3.12</v>
      </c>
      <c r="G20" s="7" t="s">
        <v>420</v>
      </c>
      <c r="H20" s="52"/>
    </row>
    <row r="21" customFormat="false" ht="15" hidden="false" customHeight="true" outlineLevel="0" collapsed="false">
      <c r="A21" s="8" t="s">
        <v>111</v>
      </c>
      <c r="B21" s="8" t="s">
        <v>441</v>
      </c>
      <c r="C21" s="8" t="s">
        <v>436</v>
      </c>
      <c r="D21" s="8" t="n">
        <v>2</v>
      </c>
      <c r="E21" s="8" t="n">
        <v>3.12</v>
      </c>
      <c r="F21" s="8" t="n">
        <v>3.12</v>
      </c>
      <c r="G21" s="7" t="s">
        <v>420</v>
      </c>
      <c r="H21" s="52"/>
    </row>
    <row r="22" customFormat="false" ht="15" hidden="false" customHeight="true" outlineLevel="0" collapsed="false">
      <c r="A22" s="8" t="s">
        <v>40</v>
      </c>
      <c r="B22" s="8" t="s">
        <v>442</v>
      </c>
      <c r="C22" s="8" t="s">
        <v>436</v>
      </c>
      <c r="D22" s="8" t="n">
        <v>2</v>
      </c>
      <c r="E22" s="8" t="n">
        <v>3.12</v>
      </c>
      <c r="F22" s="8" t="n">
        <v>3.12</v>
      </c>
      <c r="G22" s="7" t="s">
        <v>420</v>
      </c>
      <c r="H22" s="52"/>
    </row>
    <row r="23" customFormat="false" ht="15" hidden="false" customHeight="true" outlineLevel="0" collapsed="false">
      <c r="A23" s="8" t="s">
        <v>41</v>
      </c>
      <c r="B23" s="8" t="s">
        <v>443</v>
      </c>
      <c r="C23" s="8" t="s">
        <v>436</v>
      </c>
      <c r="D23" s="8" t="n">
        <v>2</v>
      </c>
      <c r="E23" s="8" t="n">
        <v>3.12</v>
      </c>
      <c r="F23" s="8" t="n">
        <v>3.12</v>
      </c>
      <c r="G23" s="7" t="s">
        <v>420</v>
      </c>
      <c r="H23" s="52"/>
    </row>
    <row r="24" customFormat="false" ht="15" hidden="false" customHeight="true" outlineLevel="0" collapsed="false">
      <c r="A24" s="8" t="s">
        <v>39</v>
      </c>
      <c r="B24" s="8" t="s">
        <v>444</v>
      </c>
      <c r="C24" s="8" t="s">
        <v>436</v>
      </c>
      <c r="D24" s="8" t="n">
        <v>2</v>
      </c>
      <c r="E24" s="8" t="n">
        <v>3.12</v>
      </c>
      <c r="F24" s="8" t="n">
        <v>3.12</v>
      </c>
      <c r="G24" s="7" t="s">
        <v>420</v>
      </c>
      <c r="H24" s="52"/>
    </row>
    <row r="25" customFormat="false" ht="15" hidden="false" customHeight="true" outlineLevel="0" collapsed="false">
      <c r="A25" s="8" t="s">
        <v>36</v>
      </c>
      <c r="B25" s="8" t="s">
        <v>445</v>
      </c>
      <c r="C25" s="8" t="s">
        <v>436</v>
      </c>
      <c r="D25" s="8" t="n">
        <v>2</v>
      </c>
      <c r="E25" s="8" t="n">
        <v>3.12</v>
      </c>
      <c r="F25" s="8" t="n">
        <v>3.12</v>
      </c>
      <c r="G25" s="7" t="s">
        <v>420</v>
      </c>
      <c r="H25" s="52"/>
    </row>
    <row r="26" customFormat="false" ht="15" hidden="false" customHeight="true" outlineLevel="0" collapsed="false">
      <c r="A26" s="8" t="s">
        <v>120</v>
      </c>
      <c r="B26" s="8" t="s">
        <v>446</v>
      </c>
      <c r="C26" s="8" t="s">
        <v>436</v>
      </c>
      <c r="D26" s="8" t="n">
        <v>2</v>
      </c>
      <c r="E26" s="8" t="n">
        <v>3.12</v>
      </c>
      <c r="F26" s="8" t="n">
        <v>3.12</v>
      </c>
      <c r="G26" s="7" t="s">
        <v>420</v>
      </c>
      <c r="H26" s="52"/>
    </row>
    <row r="27" customFormat="false" ht="15" hidden="false" customHeight="true" outlineLevel="0" collapsed="false">
      <c r="A27" s="8" t="s">
        <v>121</v>
      </c>
      <c r="B27" s="8" t="s">
        <v>447</v>
      </c>
      <c r="C27" s="8" t="s">
        <v>436</v>
      </c>
      <c r="D27" s="8" t="n">
        <v>2</v>
      </c>
      <c r="E27" s="8" t="n">
        <v>3.12</v>
      </c>
      <c r="F27" s="8" t="n">
        <v>3.12</v>
      </c>
      <c r="G27" s="7" t="s">
        <v>420</v>
      </c>
      <c r="H27" s="52"/>
    </row>
    <row r="28" customFormat="false" ht="15" hidden="false" customHeight="true" outlineLevel="0" collapsed="false">
      <c r="A28" s="8" t="s">
        <v>122</v>
      </c>
      <c r="B28" s="8" t="s">
        <v>448</v>
      </c>
      <c r="C28" s="8" t="s">
        <v>436</v>
      </c>
      <c r="D28" s="8" t="n">
        <v>2</v>
      </c>
      <c r="E28" s="8" t="n">
        <v>3.12</v>
      </c>
      <c r="F28" s="8" t="n">
        <v>3.12</v>
      </c>
      <c r="G28" s="7" t="s">
        <v>420</v>
      </c>
      <c r="H28" s="52"/>
    </row>
    <row r="29" customFormat="false" ht="15" hidden="false" customHeight="true" outlineLevel="0" collapsed="false">
      <c r="A29" s="8" t="s">
        <v>127</v>
      </c>
      <c r="B29" s="8" t="s">
        <v>449</v>
      </c>
      <c r="C29" s="8" t="s">
        <v>436</v>
      </c>
      <c r="D29" s="8" t="n">
        <v>2</v>
      </c>
      <c r="E29" s="8" t="n">
        <v>3.12</v>
      </c>
      <c r="F29" s="8" t="n">
        <v>3.12</v>
      </c>
      <c r="G29" s="7" t="s">
        <v>420</v>
      </c>
      <c r="H29" s="52"/>
    </row>
    <row r="30" customFormat="false" ht="15" hidden="false" customHeight="true" outlineLevel="0" collapsed="false">
      <c r="A30" s="8" t="s">
        <v>32</v>
      </c>
      <c r="B30" s="8" t="s">
        <v>450</v>
      </c>
      <c r="C30" s="8" t="s">
        <v>436</v>
      </c>
      <c r="D30" s="8" t="n">
        <v>2</v>
      </c>
      <c r="E30" s="8" t="n">
        <v>3.12</v>
      </c>
      <c r="F30" s="8" t="n">
        <v>3.12</v>
      </c>
      <c r="G30" s="7" t="s">
        <v>420</v>
      </c>
      <c r="H30" s="52"/>
    </row>
    <row r="31" customFormat="false" ht="15" hidden="false" customHeight="true" outlineLevel="0" collapsed="false">
      <c r="A31" s="8" t="s">
        <v>30</v>
      </c>
      <c r="B31" s="8" t="s">
        <v>451</v>
      </c>
      <c r="C31" s="8" t="s">
        <v>452</v>
      </c>
      <c r="D31" s="8" t="n">
        <v>2.5</v>
      </c>
      <c r="E31" s="8" t="n">
        <v>2.92</v>
      </c>
      <c r="F31" s="8" t="n">
        <v>2.92</v>
      </c>
      <c r="G31" s="7" t="s">
        <v>420</v>
      </c>
      <c r="H31" s="52"/>
    </row>
    <row r="32" customFormat="false" ht="15" hidden="false" customHeight="true" outlineLevel="0" collapsed="false">
      <c r="A32" s="8" t="s">
        <v>101</v>
      </c>
      <c r="B32" s="8" t="s">
        <v>451</v>
      </c>
      <c r="C32" s="8" t="s">
        <v>452</v>
      </c>
      <c r="D32" s="8" t="n">
        <v>2.5</v>
      </c>
      <c r="E32" s="8" t="n">
        <v>2.92</v>
      </c>
      <c r="F32" s="8" t="n">
        <v>2.92</v>
      </c>
      <c r="G32" s="7" t="s">
        <v>420</v>
      </c>
      <c r="H32" s="52"/>
    </row>
    <row r="33" customFormat="false" ht="15" hidden="false" customHeight="true" outlineLevel="0" collapsed="false">
      <c r="A33" s="8" t="s">
        <v>126</v>
      </c>
      <c r="B33" s="8" t="s">
        <v>453</v>
      </c>
      <c r="C33" s="8" t="s">
        <v>454</v>
      </c>
      <c r="D33" s="8" t="n">
        <v>2</v>
      </c>
      <c r="E33" s="8" t="n">
        <v>1.43</v>
      </c>
      <c r="F33" s="8" t="n">
        <v>2</v>
      </c>
      <c r="G33" s="7" t="s">
        <v>420</v>
      </c>
      <c r="H33" s="52"/>
    </row>
    <row r="34" customFormat="false" ht="15" hidden="false" customHeight="true" outlineLevel="0" collapsed="false">
      <c r="A34" s="8" t="s">
        <v>95</v>
      </c>
      <c r="B34" s="8" t="s">
        <v>455</v>
      </c>
      <c r="C34" s="8" t="s">
        <v>456</v>
      </c>
      <c r="D34" s="8" t="n">
        <v>1.5</v>
      </c>
      <c r="E34" s="8" t="n">
        <v>1.98</v>
      </c>
      <c r="F34" s="8" t="n">
        <v>1.98</v>
      </c>
      <c r="G34" s="7" t="s">
        <v>420</v>
      </c>
      <c r="H34" s="52"/>
    </row>
    <row r="35" customFormat="false" ht="15" hidden="false" customHeight="true" outlineLevel="0" collapsed="false">
      <c r="A35" s="8" t="s">
        <v>99</v>
      </c>
      <c r="B35" s="8" t="s">
        <v>455</v>
      </c>
      <c r="C35" s="8" t="s">
        <v>456</v>
      </c>
      <c r="D35" s="8" t="n">
        <v>1.5</v>
      </c>
      <c r="E35" s="8" t="n">
        <v>1.98</v>
      </c>
      <c r="F35" s="8" t="n">
        <v>1.98</v>
      </c>
      <c r="G35" s="7" t="s">
        <v>420</v>
      </c>
      <c r="H35" s="52"/>
    </row>
    <row r="36" customFormat="false" ht="15" hidden="false" customHeight="true" outlineLevel="0" collapsed="false">
      <c r="A36" s="8" t="s">
        <v>44</v>
      </c>
      <c r="B36" s="8" t="s">
        <v>457</v>
      </c>
      <c r="C36" s="8" t="s">
        <v>456</v>
      </c>
      <c r="D36" s="8" t="n">
        <v>1.5</v>
      </c>
      <c r="E36" s="8" t="n">
        <v>1.98</v>
      </c>
      <c r="F36" s="8" t="n">
        <v>1.98</v>
      </c>
      <c r="G36" s="7" t="s">
        <v>420</v>
      </c>
      <c r="H36" s="52"/>
    </row>
    <row r="37" customFormat="false" ht="15" hidden="false" customHeight="true" outlineLevel="0" collapsed="false">
      <c r="A37" s="8" t="s">
        <v>34</v>
      </c>
      <c r="B37" s="8" t="s">
        <v>458</v>
      </c>
      <c r="C37" s="8" t="s">
        <v>456</v>
      </c>
      <c r="D37" s="8" t="n">
        <v>1.5</v>
      </c>
      <c r="E37" s="8" t="n">
        <v>1.98</v>
      </c>
      <c r="F37" s="8" t="n">
        <v>1.98</v>
      </c>
      <c r="G37" s="7" t="s">
        <v>420</v>
      </c>
      <c r="H37" s="52"/>
    </row>
    <row r="38" customFormat="false" ht="15" hidden="false" customHeight="true" outlineLevel="0" collapsed="false">
      <c r="A38" s="8" t="s">
        <v>104</v>
      </c>
      <c r="B38" s="8" t="s">
        <v>459</v>
      </c>
      <c r="C38" s="8" t="s">
        <v>456</v>
      </c>
      <c r="D38" s="8" t="n">
        <v>1.5</v>
      </c>
      <c r="E38" s="8" t="n">
        <v>1.98</v>
      </c>
      <c r="F38" s="8" t="n">
        <v>1.98</v>
      </c>
      <c r="G38" s="7" t="s">
        <v>420</v>
      </c>
      <c r="H38" s="52"/>
    </row>
    <row r="39" customFormat="false" ht="15" hidden="false" customHeight="true" outlineLevel="0" collapsed="false">
      <c r="A39" s="8" t="s">
        <v>37</v>
      </c>
      <c r="B39" s="8" t="s">
        <v>460</v>
      </c>
      <c r="C39" s="8" t="s">
        <v>456</v>
      </c>
      <c r="D39" s="8" t="n">
        <v>1.5</v>
      </c>
      <c r="E39" s="8" t="n">
        <v>1.98</v>
      </c>
      <c r="F39" s="8" t="n">
        <v>1.98</v>
      </c>
      <c r="G39" s="7" t="s">
        <v>420</v>
      </c>
      <c r="H39" s="52"/>
    </row>
    <row r="40" customFormat="false" ht="15" hidden="false" customHeight="true" outlineLevel="0" collapsed="false">
      <c r="A40" s="8" t="s">
        <v>47</v>
      </c>
      <c r="B40" s="8" t="s">
        <v>461</v>
      </c>
      <c r="C40" s="8" t="s">
        <v>456</v>
      </c>
      <c r="D40" s="8" t="n">
        <v>1.5</v>
      </c>
      <c r="E40" s="8" t="n">
        <v>1.98</v>
      </c>
      <c r="F40" s="8" t="n">
        <v>1.98</v>
      </c>
      <c r="G40" s="7" t="s">
        <v>420</v>
      </c>
      <c r="H40" s="52"/>
    </row>
    <row r="41" customFormat="false" ht="15" hidden="false" customHeight="true" outlineLevel="0" collapsed="false">
      <c r="A41" s="8" t="s">
        <v>48</v>
      </c>
      <c r="B41" s="8" t="s">
        <v>462</v>
      </c>
      <c r="C41" s="8" t="s">
        <v>456</v>
      </c>
      <c r="D41" s="8" t="n">
        <v>1.5</v>
      </c>
      <c r="E41" s="8" t="n">
        <v>1.98</v>
      </c>
      <c r="F41" s="8" t="n">
        <v>1.98</v>
      </c>
      <c r="G41" s="7" t="s">
        <v>420</v>
      </c>
      <c r="H41" s="52"/>
    </row>
    <row r="42" customFormat="false" ht="15" hidden="false" customHeight="true" outlineLevel="0" collapsed="false">
      <c r="A42" s="8" t="s">
        <v>105</v>
      </c>
      <c r="B42" s="8" t="s">
        <v>463</v>
      </c>
      <c r="C42" s="8" t="s">
        <v>456</v>
      </c>
      <c r="D42" s="8" t="n">
        <v>1.5</v>
      </c>
      <c r="E42" s="8" t="n">
        <v>1.98</v>
      </c>
      <c r="F42" s="8" t="n">
        <v>1.98</v>
      </c>
      <c r="G42" s="7" t="s">
        <v>420</v>
      </c>
      <c r="H42" s="52"/>
    </row>
    <row r="43" customFormat="false" ht="15" hidden="false" customHeight="true" outlineLevel="0" collapsed="false">
      <c r="A43" s="8" t="s">
        <v>33</v>
      </c>
      <c r="B43" s="8" t="s">
        <v>464</v>
      </c>
      <c r="C43" s="8" t="s">
        <v>456</v>
      </c>
      <c r="D43" s="8" t="n">
        <v>1.5</v>
      </c>
      <c r="E43" s="8" t="n">
        <v>1.98</v>
      </c>
      <c r="F43" s="8" t="n">
        <v>1.98</v>
      </c>
      <c r="G43" s="7" t="s">
        <v>420</v>
      </c>
      <c r="H43" s="52"/>
    </row>
    <row r="44" customFormat="false" ht="15" hidden="false" customHeight="true" outlineLevel="0" collapsed="false">
      <c r="A44" s="8" t="s">
        <v>45</v>
      </c>
      <c r="B44" s="8" t="s">
        <v>465</v>
      </c>
      <c r="C44" s="8" t="s">
        <v>456</v>
      </c>
      <c r="D44" s="8" t="n">
        <v>1.5</v>
      </c>
      <c r="E44" s="8" t="n">
        <v>1.98</v>
      </c>
      <c r="F44" s="8" t="n">
        <v>1.98</v>
      </c>
      <c r="G44" s="7" t="s">
        <v>420</v>
      </c>
      <c r="H44" s="52"/>
    </row>
    <row r="45" customFormat="false" ht="15" hidden="false" customHeight="true" outlineLevel="0" collapsed="false">
      <c r="A45" s="8" t="s">
        <v>49</v>
      </c>
      <c r="B45" s="8" t="s">
        <v>466</v>
      </c>
      <c r="C45" s="8" t="s">
        <v>456</v>
      </c>
      <c r="D45" s="8" t="n">
        <v>1.5</v>
      </c>
      <c r="E45" s="8" t="n">
        <v>1.98</v>
      </c>
      <c r="F45" s="8" t="n">
        <v>1.98</v>
      </c>
      <c r="G45" s="7" t="s">
        <v>420</v>
      </c>
      <c r="H45" s="52"/>
    </row>
    <row r="46" customFormat="false" ht="15" hidden="false" customHeight="true" outlineLevel="0" collapsed="false">
      <c r="A46" s="8" t="s">
        <v>31</v>
      </c>
      <c r="B46" s="8" t="s">
        <v>467</v>
      </c>
      <c r="C46" s="8" t="s">
        <v>456</v>
      </c>
      <c r="D46" s="8" t="n">
        <v>1.5</v>
      </c>
      <c r="E46" s="8" t="n">
        <v>1.98</v>
      </c>
      <c r="F46" s="8" t="n">
        <v>1.98</v>
      </c>
      <c r="G46" s="7" t="s">
        <v>420</v>
      </c>
      <c r="H46" s="52"/>
    </row>
    <row r="47" customFormat="false" ht="15" hidden="false" customHeight="true" outlineLevel="0" collapsed="false">
      <c r="A47" s="8" t="s">
        <v>106</v>
      </c>
      <c r="B47" s="8" t="s">
        <v>468</v>
      </c>
      <c r="C47" s="8" t="s">
        <v>456</v>
      </c>
      <c r="D47" s="8" t="n">
        <v>1.5</v>
      </c>
      <c r="E47" s="8" t="n">
        <v>1.98</v>
      </c>
      <c r="F47" s="8" t="n">
        <v>1.98</v>
      </c>
      <c r="G47" s="7" t="s">
        <v>420</v>
      </c>
      <c r="H47" s="52"/>
    </row>
    <row r="48" customFormat="false" ht="15" hidden="false" customHeight="true" outlineLevel="0" collapsed="false">
      <c r="A48" s="8" t="s">
        <v>118</v>
      </c>
      <c r="B48" s="8" t="s">
        <v>469</v>
      </c>
      <c r="C48" s="8" t="s">
        <v>456</v>
      </c>
      <c r="D48" s="8" t="n">
        <v>1.5</v>
      </c>
      <c r="E48" s="8" t="n">
        <v>1.98</v>
      </c>
      <c r="F48" s="8" t="n">
        <v>1.98</v>
      </c>
      <c r="G48" s="7" t="s">
        <v>420</v>
      </c>
      <c r="H48" s="52"/>
    </row>
    <row r="49" customFormat="false" ht="15" hidden="false" customHeight="true" outlineLevel="0" collapsed="false">
      <c r="A49" s="8" t="s">
        <v>119</v>
      </c>
      <c r="B49" s="8" t="s">
        <v>470</v>
      </c>
      <c r="C49" s="8" t="s">
        <v>456</v>
      </c>
      <c r="D49" s="8" t="n">
        <v>1.5</v>
      </c>
      <c r="E49" s="8" t="n">
        <v>1.98</v>
      </c>
      <c r="F49" s="8" t="n">
        <v>1.98</v>
      </c>
      <c r="G49" s="7" t="s">
        <v>420</v>
      </c>
      <c r="H49" s="52"/>
    </row>
    <row r="50" customFormat="false" ht="26.25" hidden="false" customHeight="true" outlineLevel="0" collapsed="false">
      <c r="A50" s="8" t="s">
        <v>35</v>
      </c>
      <c r="B50" s="8" t="s">
        <v>471</v>
      </c>
      <c r="C50" s="8" t="s">
        <v>472</v>
      </c>
      <c r="D50" s="8" t="n">
        <v>1</v>
      </c>
      <c r="E50" s="8" t="n">
        <v>0.87</v>
      </c>
      <c r="F50" s="8" t="n">
        <v>1</v>
      </c>
      <c r="G50" s="7" t="s">
        <v>420</v>
      </c>
      <c r="H50" s="52" t="s">
        <v>473</v>
      </c>
    </row>
    <row r="51" customFormat="false" ht="26.25" hidden="false" customHeight="true" outlineLevel="0" collapsed="false">
      <c r="A51" s="8" t="s">
        <v>150</v>
      </c>
      <c r="B51" s="8" t="s">
        <v>474</v>
      </c>
      <c r="C51" s="8" t="s">
        <v>475</v>
      </c>
      <c r="D51" s="8" t="n">
        <v>6</v>
      </c>
      <c r="E51" s="8" t="n">
        <v>17.64</v>
      </c>
      <c r="F51" s="8" t="n">
        <v>17.64</v>
      </c>
      <c r="G51" s="9" t="s">
        <v>476</v>
      </c>
      <c r="H51" s="52" t="s">
        <v>477</v>
      </c>
    </row>
    <row r="52" customFormat="false" ht="26.25" hidden="false" customHeight="true" outlineLevel="0" collapsed="false">
      <c r="A52" s="8" t="s">
        <v>151</v>
      </c>
      <c r="B52" s="8" t="s">
        <v>478</v>
      </c>
      <c r="C52" s="8" t="s">
        <v>475</v>
      </c>
      <c r="D52" s="8" t="n">
        <v>6</v>
      </c>
      <c r="E52" s="8" t="n">
        <v>17.64</v>
      </c>
      <c r="F52" s="8" t="n">
        <v>17.64</v>
      </c>
      <c r="G52" s="9" t="s">
        <v>476</v>
      </c>
      <c r="H52" s="52" t="s">
        <v>477</v>
      </c>
    </row>
    <row r="53" customFormat="false" ht="26.25" hidden="false" customHeight="true" outlineLevel="0" collapsed="false">
      <c r="A53" s="8" t="s">
        <v>152</v>
      </c>
      <c r="B53" s="8" t="s">
        <v>479</v>
      </c>
      <c r="C53" s="8" t="s">
        <v>475</v>
      </c>
      <c r="D53" s="8" t="n">
        <v>6</v>
      </c>
      <c r="E53" s="8" t="n">
        <v>17.64</v>
      </c>
      <c r="F53" s="8" t="n">
        <v>17.64</v>
      </c>
      <c r="G53" s="9" t="s">
        <v>476</v>
      </c>
      <c r="H53" s="52" t="s">
        <v>477</v>
      </c>
    </row>
    <row r="54" customFormat="false" ht="26.25" hidden="false" customHeight="true" outlineLevel="0" collapsed="false">
      <c r="A54" s="8" t="s">
        <v>153</v>
      </c>
      <c r="B54" s="8" t="s">
        <v>480</v>
      </c>
      <c r="C54" s="8" t="s">
        <v>475</v>
      </c>
      <c r="D54" s="8" t="n">
        <v>6</v>
      </c>
      <c r="E54" s="8" t="n">
        <v>17.64</v>
      </c>
      <c r="F54" s="8" t="n">
        <v>17.64</v>
      </c>
      <c r="G54" s="9" t="s">
        <v>476</v>
      </c>
      <c r="H54" s="52" t="s">
        <v>477</v>
      </c>
    </row>
    <row r="55" customFormat="false" ht="26.25" hidden="false" customHeight="true" outlineLevel="0" collapsed="false">
      <c r="A55" s="8" t="s">
        <v>158</v>
      </c>
      <c r="B55" s="8" t="s">
        <v>481</v>
      </c>
      <c r="C55" s="8" t="s">
        <v>475</v>
      </c>
      <c r="D55" s="8" t="n">
        <v>6</v>
      </c>
      <c r="E55" s="8" t="n">
        <v>17.64</v>
      </c>
      <c r="F55" s="8" t="n">
        <v>17.64</v>
      </c>
      <c r="G55" s="9" t="s">
        <v>476</v>
      </c>
      <c r="H55" s="52" t="s">
        <v>477</v>
      </c>
    </row>
    <row r="56" customFormat="false" ht="26.25" hidden="false" customHeight="true" outlineLevel="0" collapsed="false">
      <c r="A56" s="8" t="s">
        <v>159</v>
      </c>
      <c r="B56" s="8" t="s">
        <v>482</v>
      </c>
      <c r="C56" s="8" t="s">
        <v>475</v>
      </c>
      <c r="D56" s="8" t="n">
        <v>6</v>
      </c>
      <c r="E56" s="8" t="n">
        <v>17.64</v>
      </c>
      <c r="F56" s="8" t="n">
        <v>17.64</v>
      </c>
      <c r="G56" s="9" t="s">
        <v>476</v>
      </c>
      <c r="H56" s="52" t="s">
        <v>477</v>
      </c>
    </row>
    <row r="57" customFormat="false" ht="26.25" hidden="false" customHeight="true" outlineLevel="0" collapsed="false">
      <c r="A57" s="8" t="s">
        <v>58</v>
      </c>
      <c r="B57" s="8" t="s">
        <v>483</v>
      </c>
      <c r="C57" s="8" t="s">
        <v>475</v>
      </c>
      <c r="D57" s="8" t="n">
        <v>6</v>
      </c>
      <c r="E57" s="8" t="n">
        <v>17.64</v>
      </c>
      <c r="F57" s="8" t="n">
        <v>17.64</v>
      </c>
      <c r="G57" s="9" t="s">
        <v>476</v>
      </c>
      <c r="H57" s="52" t="s">
        <v>477</v>
      </c>
    </row>
    <row r="58" customFormat="false" ht="26.25" hidden="false" customHeight="true" outlineLevel="0" collapsed="false">
      <c r="A58" s="8" t="s">
        <v>160</v>
      </c>
      <c r="B58" s="8" t="s">
        <v>484</v>
      </c>
      <c r="C58" s="8" t="s">
        <v>475</v>
      </c>
      <c r="D58" s="8" t="n">
        <v>6</v>
      </c>
      <c r="E58" s="8" t="n">
        <v>17.64</v>
      </c>
      <c r="F58" s="8" t="n">
        <v>17.64</v>
      </c>
      <c r="G58" s="9" t="s">
        <v>476</v>
      </c>
      <c r="H58" s="52" t="s">
        <v>477</v>
      </c>
    </row>
    <row r="59" customFormat="false" ht="26.25" hidden="false" customHeight="true" outlineLevel="0" collapsed="false">
      <c r="A59" s="8" t="s">
        <v>60</v>
      </c>
      <c r="B59" s="8" t="s">
        <v>485</v>
      </c>
      <c r="C59" s="8" t="s">
        <v>475</v>
      </c>
      <c r="D59" s="8" t="n">
        <v>6</v>
      </c>
      <c r="E59" s="8" t="n">
        <v>17.64</v>
      </c>
      <c r="F59" s="8" t="n">
        <v>17.64</v>
      </c>
      <c r="G59" s="9" t="s">
        <v>476</v>
      </c>
      <c r="H59" s="52" t="s">
        <v>477</v>
      </c>
    </row>
    <row r="60" customFormat="false" ht="26.25" hidden="false" customHeight="true" outlineLevel="0" collapsed="false">
      <c r="A60" s="8" t="s">
        <v>186</v>
      </c>
      <c r="B60" s="8" t="s">
        <v>486</v>
      </c>
      <c r="C60" s="8" t="s">
        <v>487</v>
      </c>
      <c r="D60" s="8" t="n">
        <v>5</v>
      </c>
      <c r="E60" s="8" t="n">
        <v>16.88</v>
      </c>
      <c r="F60" s="8" t="n">
        <v>16.88</v>
      </c>
      <c r="G60" s="9" t="s">
        <v>476</v>
      </c>
      <c r="H60" s="52" t="s">
        <v>488</v>
      </c>
    </row>
    <row r="61" customFormat="false" ht="15" hidden="false" customHeight="true" outlineLevel="0" collapsed="false">
      <c r="A61" s="8" t="s">
        <v>149</v>
      </c>
      <c r="B61" s="8" t="s">
        <v>489</v>
      </c>
      <c r="C61" s="8" t="s">
        <v>490</v>
      </c>
      <c r="D61" s="8" t="n">
        <v>6.5</v>
      </c>
      <c r="E61" s="8" t="n">
        <v>12.57</v>
      </c>
      <c r="F61" s="8" t="n">
        <v>12.57</v>
      </c>
      <c r="G61" s="9" t="s">
        <v>476</v>
      </c>
      <c r="H61" s="52"/>
    </row>
    <row r="62" customFormat="false" ht="15" hidden="false" customHeight="true" outlineLevel="0" collapsed="false">
      <c r="A62" s="8" t="s">
        <v>170</v>
      </c>
      <c r="B62" s="8" t="s">
        <v>491</v>
      </c>
      <c r="C62" s="8" t="s">
        <v>492</v>
      </c>
      <c r="D62" s="8" t="n">
        <v>7</v>
      </c>
      <c r="E62" s="8" t="n">
        <v>11.53</v>
      </c>
      <c r="F62" s="8" t="n">
        <v>11.53</v>
      </c>
      <c r="G62" s="9" t="s">
        <v>476</v>
      </c>
      <c r="H62" s="52"/>
    </row>
    <row r="63" customFormat="false" ht="15" hidden="false" customHeight="true" outlineLevel="0" collapsed="false">
      <c r="A63" s="8" t="s">
        <v>171</v>
      </c>
      <c r="B63" s="8" t="s">
        <v>493</v>
      </c>
      <c r="C63" s="8" t="s">
        <v>492</v>
      </c>
      <c r="D63" s="8" t="n">
        <v>7</v>
      </c>
      <c r="E63" s="8" t="n">
        <v>11.53</v>
      </c>
      <c r="F63" s="8" t="n">
        <v>11.53</v>
      </c>
      <c r="G63" s="9" t="s">
        <v>476</v>
      </c>
      <c r="H63" s="52"/>
    </row>
    <row r="64" customFormat="false" ht="15" hidden="false" customHeight="true" outlineLevel="0" collapsed="false">
      <c r="A64" s="8" t="s">
        <v>146</v>
      </c>
      <c r="B64" s="8" t="s">
        <v>494</v>
      </c>
      <c r="C64" s="8" t="s">
        <v>495</v>
      </c>
      <c r="D64" s="8" t="n">
        <v>6</v>
      </c>
      <c r="E64" s="8" t="n">
        <v>11.21</v>
      </c>
      <c r="F64" s="8" t="n">
        <v>11.21</v>
      </c>
      <c r="G64" s="9" t="s">
        <v>476</v>
      </c>
      <c r="H64" s="52"/>
    </row>
    <row r="65" customFormat="false" ht="15" hidden="false" customHeight="true" outlineLevel="0" collapsed="false">
      <c r="A65" s="8" t="s">
        <v>147</v>
      </c>
      <c r="B65" s="8" t="s">
        <v>496</v>
      </c>
      <c r="C65" s="8" t="s">
        <v>495</v>
      </c>
      <c r="D65" s="8" t="n">
        <v>6</v>
      </c>
      <c r="E65" s="8" t="n">
        <v>11.21</v>
      </c>
      <c r="F65" s="8" t="n">
        <v>11.21</v>
      </c>
      <c r="G65" s="9" t="s">
        <v>476</v>
      </c>
      <c r="H65" s="52"/>
    </row>
    <row r="66" customFormat="false" ht="15" hidden="false" customHeight="true" outlineLevel="0" collapsed="false">
      <c r="A66" s="8" t="s">
        <v>148</v>
      </c>
      <c r="B66" s="8" t="s">
        <v>497</v>
      </c>
      <c r="C66" s="8" t="s">
        <v>495</v>
      </c>
      <c r="D66" s="8" t="n">
        <v>6</v>
      </c>
      <c r="E66" s="8" t="n">
        <v>11.21</v>
      </c>
      <c r="F66" s="8" t="n">
        <v>11.21</v>
      </c>
      <c r="G66" s="9" t="s">
        <v>476</v>
      </c>
      <c r="H66" s="52"/>
    </row>
    <row r="67" customFormat="false" ht="15" hidden="false" customHeight="true" outlineLevel="0" collapsed="false">
      <c r="A67" s="8" t="s">
        <v>57</v>
      </c>
      <c r="B67" s="8" t="s">
        <v>498</v>
      </c>
      <c r="C67" s="8" t="s">
        <v>495</v>
      </c>
      <c r="D67" s="8" t="n">
        <v>6</v>
      </c>
      <c r="E67" s="8" t="n">
        <v>11.21</v>
      </c>
      <c r="F67" s="8" t="n">
        <v>11.21</v>
      </c>
      <c r="G67" s="9" t="s">
        <v>476</v>
      </c>
      <c r="H67" s="52"/>
    </row>
    <row r="68" customFormat="false" ht="15" hidden="false" customHeight="true" outlineLevel="0" collapsed="false">
      <c r="A68" s="8" t="s">
        <v>56</v>
      </c>
      <c r="B68" s="8" t="s">
        <v>499</v>
      </c>
      <c r="C68" s="8" t="s">
        <v>495</v>
      </c>
      <c r="D68" s="8" t="n">
        <v>6</v>
      </c>
      <c r="E68" s="8" t="n">
        <v>11.21</v>
      </c>
      <c r="F68" s="8" t="n">
        <v>11.21</v>
      </c>
      <c r="G68" s="9" t="s">
        <v>476</v>
      </c>
      <c r="H68" s="52"/>
    </row>
    <row r="69" customFormat="false" ht="15" hidden="false" customHeight="true" outlineLevel="0" collapsed="false">
      <c r="A69" s="8" t="s">
        <v>164</v>
      </c>
      <c r="B69" s="8" t="s">
        <v>500</v>
      </c>
      <c r="C69" s="8" t="s">
        <v>495</v>
      </c>
      <c r="D69" s="8" t="n">
        <v>6</v>
      </c>
      <c r="E69" s="8" t="n">
        <v>11.21</v>
      </c>
      <c r="F69" s="8" t="n">
        <v>11.21</v>
      </c>
      <c r="G69" s="9" t="s">
        <v>476</v>
      </c>
      <c r="H69" s="52"/>
    </row>
    <row r="70" customFormat="false" ht="15" hidden="false" customHeight="true" outlineLevel="0" collapsed="false">
      <c r="A70" s="8" t="s">
        <v>129</v>
      </c>
      <c r="B70" s="8" t="s">
        <v>501</v>
      </c>
      <c r="C70" s="8" t="s">
        <v>502</v>
      </c>
      <c r="D70" s="8" t="n">
        <v>8</v>
      </c>
      <c r="E70" s="8" t="n">
        <v>9.83</v>
      </c>
      <c r="F70" s="8" t="n">
        <v>9.83</v>
      </c>
      <c r="G70" s="9" t="s">
        <v>476</v>
      </c>
      <c r="H70" s="52"/>
    </row>
    <row r="71" customFormat="false" ht="15" hidden="false" customHeight="true" outlineLevel="0" collapsed="false">
      <c r="A71" s="8" t="s">
        <v>141</v>
      </c>
      <c r="B71" s="8" t="s">
        <v>503</v>
      </c>
      <c r="C71" s="8" t="s">
        <v>504</v>
      </c>
      <c r="D71" s="8" t="n">
        <v>5</v>
      </c>
      <c r="E71" s="8" t="n">
        <v>9.61</v>
      </c>
      <c r="F71" s="8" t="n">
        <v>9.61</v>
      </c>
      <c r="G71" s="9" t="s">
        <v>476</v>
      </c>
      <c r="H71" s="52"/>
    </row>
    <row r="72" customFormat="false" ht="15" hidden="false" customHeight="true" outlineLevel="0" collapsed="false">
      <c r="A72" s="8" t="s">
        <v>142</v>
      </c>
      <c r="B72" s="8" t="s">
        <v>505</v>
      </c>
      <c r="C72" s="8" t="s">
        <v>504</v>
      </c>
      <c r="D72" s="8" t="n">
        <v>5</v>
      </c>
      <c r="E72" s="8" t="n">
        <v>9.61</v>
      </c>
      <c r="F72" s="8" t="n">
        <v>9.61</v>
      </c>
      <c r="G72" s="9" t="s">
        <v>476</v>
      </c>
      <c r="H72" s="52"/>
    </row>
    <row r="73" customFormat="false" ht="15" hidden="false" customHeight="true" outlineLevel="0" collapsed="false">
      <c r="A73" s="8" t="s">
        <v>143</v>
      </c>
      <c r="B73" s="8" t="s">
        <v>506</v>
      </c>
      <c r="C73" s="8" t="s">
        <v>504</v>
      </c>
      <c r="D73" s="8" t="n">
        <v>5</v>
      </c>
      <c r="E73" s="8" t="n">
        <v>9.61</v>
      </c>
      <c r="F73" s="8" t="n">
        <v>9.61</v>
      </c>
      <c r="G73" s="9" t="s">
        <v>476</v>
      </c>
      <c r="H73" s="52"/>
    </row>
    <row r="74" customFormat="false" ht="15" hidden="false" customHeight="true" outlineLevel="0" collapsed="false">
      <c r="A74" s="8" t="s">
        <v>144</v>
      </c>
      <c r="B74" s="8" t="s">
        <v>507</v>
      </c>
      <c r="C74" s="8" t="s">
        <v>504</v>
      </c>
      <c r="D74" s="8" t="n">
        <v>5</v>
      </c>
      <c r="E74" s="8" t="n">
        <v>9.61</v>
      </c>
      <c r="F74" s="8" t="n">
        <v>9.61</v>
      </c>
      <c r="G74" s="9" t="s">
        <v>476</v>
      </c>
      <c r="H74" s="52"/>
    </row>
    <row r="75" customFormat="false" ht="15" hidden="false" customHeight="true" outlineLevel="0" collapsed="false">
      <c r="A75" s="8" t="s">
        <v>145</v>
      </c>
      <c r="B75" s="8" t="s">
        <v>508</v>
      </c>
      <c r="C75" s="8" t="s">
        <v>504</v>
      </c>
      <c r="D75" s="8" t="n">
        <v>5</v>
      </c>
      <c r="E75" s="8" t="n">
        <v>9.61</v>
      </c>
      <c r="F75" s="8" t="n">
        <v>9.61</v>
      </c>
      <c r="G75" s="9" t="s">
        <v>476</v>
      </c>
      <c r="H75" s="52"/>
    </row>
    <row r="76" customFormat="false" ht="15" hidden="false" customHeight="true" outlineLevel="0" collapsed="false">
      <c r="A76" s="8" t="s">
        <v>155</v>
      </c>
      <c r="B76" s="8" t="s">
        <v>509</v>
      </c>
      <c r="C76" s="8" t="s">
        <v>504</v>
      </c>
      <c r="D76" s="8" t="n">
        <v>5</v>
      </c>
      <c r="E76" s="8" t="n">
        <v>9.61</v>
      </c>
      <c r="F76" s="8" t="n">
        <v>9.61</v>
      </c>
      <c r="G76" s="9" t="s">
        <v>476</v>
      </c>
      <c r="H76" s="52"/>
    </row>
    <row r="77" customFormat="false" ht="15" hidden="false" customHeight="true" outlineLevel="0" collapsed="false">
      <c r="A77" s="8" t="s">
        <v>156</v>
      </c>
      <c r="B77" s="8" t="s">
        <v>510</v>
      </c>
      <c r="C77" s="8" t="s">
        <v>504</v>
      </c>
      <c r="D77" s="8" t="n">
        <v>5</v>
      </c>
      <c r="E77" s="8" t="n">
        <v>9.61</v>
      </c>
      <c r="F77" s="8" t="n">
        <v>9.61</v>
      </c>
      <c r="G77" s="9" t="s">
        <v>476</v>
      </c>
      <c r="H77" s="52"/>
    </row>
    <row r="78" customFormat="false" ht="15" hidden="false" customHeight="true" outlineLevel="0" collapsed="false">
      <c r="A78" s="8" t="s">
        <v>52</v>
      </c>
      <c r="B78" s="8" t="s">
        <v>511</v>
      </c>
      <c r="C78" s="8" t="s">
        <v>504</v>
      </c>
      <c r="D78" s="8" t="n">
        <v>5</v>
      </c>
      <c r="E78" s="8" t="n">
        <v>9.61</v>
      </c>
      <c r="F78" s="8" t="n">
        <v>9.61</v>
      </c>
      <c r="G78" s="9" t="s">
        <v>476</v>
      </c>
      <c r="H78" s="52"/>
    </row>
    <row r="79" customFormat="false" ht="15" hidden="false" customHeight="true" outlineLevel="0" collapsed="false">
      <c r="A79" s="8" t="s">
        <v>157</v>
      </c>
      <c r="B79" s="8" t="s">
        <v>512</v>
      </c>
      <c r="C79" s="8" t="s">
        <v>504</v>
      </c>
      <c r="D79" s="8" t="n">
        <v>5</v>
      </c>
      <c r="E79" s="8" t="n">
        <v>9.61</v>
      </c>
      <c r="F79" s="8" t="n">
        <v>9.61</v>
      </c>
      <c r="G79" s="9" t="s">
        <v>476</v>
      </c>
      <c r="H79" s="52"/>
    </row>
    <row r="80" customFormat="false" ht="15" hidden="false" customHeight="true" outlineLevel="0" collapsed="false">
      <c r="A80" s="8" t="s">
        <v>163</v>
      </c>
      <c r="B80" s="8" t="s">
        <v>513</v>
      </c>
      <c r="C80" s="8" t="s">
        <v>504</v>
      </c>
      <c r="D80" s="8" t="n">
        <v>5</v>
      </c>
      <c r="E80" s="8" t="n">
        <v>9.61</v>
      </c>
      <c r="F80" s="8" t="n">
        <v>9.61</v>
      </c>
      <c r="G80" s="9" t="s">
        <v>476</v>
      </c>
      <c r="H80" s="52"/>
    </row>
    <row r="81" customFormat="false" ht="15" hidden="false" customHeight="true" outlineLevel="0" collapsed="false">
      <c r="A81" s="8" t="s">
        <v>165</v>
      </c>
      <c r="B81" s="8" t="s">
        <v>514</v>
      </c>
      <c r="C81" s="8" t="s">
        <v>504</v>
      </c>
      <c r="D81" s="8" t="n">
        <v>5</v>
      </c>
      <c r="E81" s="8" t="n">
        <v>9.61</v>
      </c>
      <c r="F81" s="8" t="n">
        <v>9.61</v>
      </c>
      <c r="G81" s="9" t="s">
        <v>476</v>
      </c>
      <c r="H81" s="52"/>
    </row>
    <row r="82" customFormat="false" ht="15" hidden="false" customHeight="true" outlineLevel="0" collapsed="false">
      <c r="A82" s="8" t="s">
        <v>53</v>
      </c>
      <c r="B82" s="8" t="s">
        <v>515</v>
      </c>
      <c r="C82" s="8" t="s">
        <v>504</v>
      </c>
      <c r="D82" s="8" t="n">
        <v>5</v>
      </c>
      <c r="E82" s="8" t="n">
        <v>9.61</v>
      </c>
      <c r="F82" s="8" t="n">
        <v>9.61</v>
      </c>
      <c r="G82" s="9" t="s">
        <v>476</v>
      </c>
      <c r="H82" s="52"/>
    </row>
    <row r="83" customFormat="false" ht="15" hidden="false" customHeight="true" outlineLevel="0" collapsed="false">
      <c r="A83" s="8" t="s">
        <v>169</v>
      </c>
      <c r="B83" s="8" t="s">
        <v>516</v>
      </c>
      <c r="C83" s="8" t="s">
        <v>504</v>
      </c>
      <c r="D83" s="8" t="n">
        <v>5</v>
      </c>
      <c r="E83" s="8" t="n">
        <v>9.61</v>
      </c>
      <c r="F83" s="8" t="n">
        <v>9.61</v>
      </c>
      <c r="G83" s="9" t="s">
        <v>476</v>
      </c>
      <c r="H83" s="52"/>
    </row>
    <row r="84" customFormat="false" ht="15" hidden="false" customHeight="true" outlineLevel="0" collapsed="false">
      <c r="A84" s="8" t="s">
        <v>131</v>
      </c>
      <c r="B84" s="8" t="s">
        <v>517</v>
      </c>
      <c r="C84" s="8" t="s">
        <v>518</v>
      </c>
      <c r="D84" s="8" t="n">
        <v>4</v>
      </c>
      <c r="E84" s="8" t="n">
        <v>7.29</v>
      </c>
      <c r="F84" s="8" t="n">
        <v>7.29</v>
      </c>
      <c r="G84" s="9" t="s">
        <v>476</v>
      </c>
      <c r="H84" s="52"/>
    </row>
    <row r="85" customFormat="false" ht="15" hidden="false" customHeight="true" outlineLevel="0" collapsed="false">
      <c r="A85" s="8" t="s">
        <v>132</v>
      </c>
      <c r="B85" s="8" t="s">
        <v>519</v>
      </c>
      <c r="C85" s="8" t="s">
        <v>518</v>
      </c>
      <c r="D85" s="8" t="n">
        <v>4</v>
      </c>
      <c r="E85" s="8" t="n">
        <v>7.29</v>
      </c>
      <c r="F85" s="8" t="n">
        <v>7.29</v>
      </c>
      <c r="G85" s="9" t="s">
        <v>476</v>
      </c>
      <c r="H85" s="52"/>
    </row>
    <row r="86" customFormat="false" ht="15" hidden="false" customHeight="true" outlineLevel="0" collapsed="false">
      <c r="A86" s="8" t="s">
        <v>133</v>
      </c>
      <c r="B86" s="8" t="s">
        <v>520</v>
      </c>
      <c r="C86" s="8" t="s">
        <v>518</v>
      </c>
      <c r="D86" s="8" t="n">
        <v>4</v>
      </c>
      <c r="E86" s="8" t="n">
        <v>7.29</v>
      </c>
      <c r="F86" s="8" t="n">
        <v>7.29</v>
      </c>
      <c r="G86" s="9" t="s">
        <v>476</v>
      </c>
      <c r="H86" s="52"/>
    </row>
    <row r="87" customFormat="false" ht="15" hidden="false" customHeight="true" outlineLevel="0" collapsed="false">
      <c r="A87" s="8" t="s">
        <v>134</v>
      </c>
      <c r="B87" s="8" t="s">
        <v>521</v>
      </c>
      <c r="C87" s="8" t="s">
        <v>518</v>
      </c>
      <c r="D87" s="8" t="n">
        <v>4</v>
      </c>
      <c r="E87" s="8" t="n">
        <v>7.29</v>
      </c>
      <c r="F87" s="8" t="n">
        <v>7.29</v>
      </c>
      <c r="G87" s="9" t="s">
        <v>476</v>
      </c>
      <c r="H87" s="52"/>
    </row>
    <row r="88" customFormat="false" ht="15" hidden="false" customHeight="true" outlineLevel="0" collapsed="false">
      <c r="A88" s="8" t="s">
        <v>135</v>
      </c>
      <c r="B88" s="8" t="s">
        <v>522</v>
      </c>
      <c r="C88" s="8" t="s">
        <v>518</v>
      </c>
      <c r="D88" s="8" t="n">
        <v>4</v>
      </c>
      <c r="E88" s="8" t="n">
        <v>7.29</v>
      </c>
      <c r="F88" s="8" t="n">
        <v>7.29</v>
      </c>
      <c r="G88" s="9" t="s">
        <v>476</v>
      </c>
      <c r="H88" s="52"/>
    </row>
    <row r="89" customFormat="false" ht="15" hidden="false" customHeight="true" outlineLevel="0" collapsed="false">
      <c r="A89" s="8" t="s">
        <v>136</v>
      </c>
      <c r="B89" s="8" t="s">
        <v>523</v>
      </c>
      <c r="C89" s="8" t="s">
        <v>518</v>
      </c>
      <c r="D89" s="8" t="n">
        <v>4</v>
      </c>
      <c r="E89" s="8" t="n">
        <v>7.29</v>
      </c>
      <c r="F89" s="8" t="n">
        <v>7.29</v>
      </c>
      <c r="G89" s="9" t="s">
        <v>476</v>
      </c>
      <c r="H89" s="52"/>
    </row>
    <row r="90" customFormat="false" ht="15" hidden="false" customHeight="true" outlineLevel="0" collapsed="false">
      <c r="A90" s="8" t="s">
        <v>137</v>
      </c>
      <c r="B90" s="8" t="s">
        <v>524</v>
      </c>
      <c r="C90" s="8" t="s">
        <v>518</v>
      </c>
      <c r="D90" s="8" t="n">
        <v>4</v>
      </c>
      <c r="E90" s="8" t="n">
        <v>7.29</v>
      </c>
      <c r="F90" s="8" t="n">
        <v>7.29</v>
      </c>
      <c r="G90" s="9" t="s">
        <v>476</v>
      </c>
      <c r="H90" s="52"/>
    </row>
    <row r="91" customFormat="false" ht="15" hidden="false" customHeight="true" outlineLevel="0" collapsed="false">
      <c r="A91" s="8" t="s">
        <v>138</v>
      </c>
      <c r="B91" s="8" t="s">
        <v>525</v>
      </c>
      <c r="C91" s="8" t="s">
        <v>518</v>
      </c>
      <c r="D91" s="8" t="n">
        <v>4</v>
      </c>
      <c r="E91" s="8" t="n">
        <v>7.29</v>
      </c>
      <c r="F91" s="8" t="n">
        <v>7.29</v>
      </c>
      <c r="G91" s="9" t="s">
        <v>476</v>
      </c>
      <c r="H91" s="52"/>
    </row>
    <row r="92" customFormat="false" ht="15" hidden="false" customHeight="true" outlineLevel="0" collapsed="false">
      <c r="A92" s="8" t="s">
        <v>51</v>
      </c>
      <c r="B92" s="8" t="s">
        <v>526</v>
      </c>
      <c r="C92" s="8" t="s">
        <v>518</v>
      </c>
      <c r="D92" s="8" t="n">
        <v>4</v>
      </c>
      <c r="E92" s="8" t="n">
        <v>7.29</v>
      </c>
      <c r="F92" s="8" t="n">
        <v>7.29</v>
      </c>
      <c r="G92" s="9" t="s">
        <v>476</v>
      </c>
      <c r="H92" s="52"/>
    </row>
    <row r="93" customFormat="false" ht="15" hidden="false" customHeight="true" outlineLevel="0" collapsed="false">
      <c r="A93" s="8" t="s">
        <v>161</v>
      </c>
      <c r="B93" s="8" t="s">
        <v>527</v>
      </c>
      <c r="C93" s="8" t="s">
        <v>518</v>
      </c>
      <c r="D93" s="8" t="n">
        <v>4</v>
      </c>
      <c r="E93" s="8" t="n">
        <v>7.29</v>
      </c>
      <c r="F93" s="8" t="n">
        <v>7.29</v>
      </c>
      <c r="G93" s="9" t="s">
        <v>476</v>
      </c>
      <c r="H93" s="52"/>
    </row>
    <row r="94" customFormat="false" ht="15" hidden="false" customHeight="true" outlineLevel="0" collapsed="false">
      <c r="A94" s="8" t="s">
        <v>162</v>
      </c>
      <c r="B94" s="8" t="s">
        <v>528</v>
      </c>
      <c r="C94" s="8" t="s">
        <v>518</v>
      </c>
      <c r="D94" s="8" t="n">
        <v>4</v>
      </c>
      <c r="E94" s="8" t="n">
        <v>7.29</v>
      </c>
      <c r="F94" s="8" t="n">
        <v>7.29</v>
      </c>
      <c r="G94" s="9" t="s">
        <v>476</v>
      </c>
      <c r="H94" s="52"/>
    </row>
    <row r="95" customFormat="false" ht="15" hidden="false" customHeight="true" outlineLevel="0" collapsed="false">
      <c r="A95" s="8" t="s">
        <v>167</v>
      </c>
      <c r="B95" s="8" t="s">
        <v>529</v>
      </c>
      <c r="C95" s="8" t="s">
        <v>518</v>
      </c>
      <c r="D95" s="8" t="n">
        <v>4</v>
      </c>
      <c r="E95" s="8" t="n">
        <v>7.29</v>
      </c>
      <c r="F95" s="8" t="n">
        <v>7.29</v>
      </c>
      <c r="G95" s="9" t="s">
        <v>476</v>
      </c>
      <c r="H95" s="52"/>
    </row>
    <row r="96" customFormat="false" ht="15" hidden="false" customHeight="true" outlineLevel="0" collapsed="false">
      <c r="A96" s="8" t="s">
        <v>168</v>
      </c>
      <c r="B96" s="8" t="s">
        <v>530</v>
      </c>
      <c r="C96" s="8" t="s">
        <v>518</v>
      </c>
      <c r="D96" s="8" t="n">
        <v>4</v>
      </c>
      <c r="E96" s="8" t="n">
        <v>7.29</v>
      </c>
      <c r="F96" s="8" t="n">
        <v>7.29</v>
      </c>
      <c r="G96" s="9" t="s">
        <v>476</v>
      </c>
      <c r="H96" s="52"/>
    </row>
    <row r="97" customFormat="false" ht="15" hidden="false" customHeight="true" outlineLevel="0" collapsed="false">
      <c r="A97" s="8" t="s">
        <v>139</v>
      </c>
      <c r="B97" s="8" t="s">
        <v>531</v>
      </c>
      <c r="C97" s="8" t="s">
        <v>532</v>
      </c>
      <c r="D97" s="8" t="n">
        <v>4</v>
      </c>
      <c r="E97" s="8" t="n">
        <v>6.41</v>
      </c>
      <c r="F97" s="8" t="n">
        <v>6.41</v>
      </c>
      <c r="G97" s="9" t="s">
        <v>476</v>
      </c>
      <c r="H97" s="52"/>
    </row>
    <row r="98" customFormat="false" ht="15" hidden="false" customHeight="true" outlineLevel="0" collapsed="false">
      <c r="A98" s="8" t="s">
        <v>140</v>
      </c>
      <c r="B98" s="8" t="s">
        <v>533</v>
      </c>
      <c r="C98" s="8" t="s">
        <v>532</v>
      </c>
      <c r="D98" s="8" t="n">
        <v>4</v>
      </c>
      <c r="E98" s="8" t="n">
        <v>6.41</v>
      </c>
      <c r="F98" s="8" t="n">
        <v>6.41</v>
      </c>
      <c r="G98" s="9" t="s">
        <v>476</v>
      </c>
      <c r="H98" s="52"/>
    </row>
    <row r="99" customFormat="false" ht="15" hidden="false" customHeight="true" outlineLevel="0" collapsed="false">
      <c r="A99" s="8" t="s">
        <v>154</v>
      </c>
      <c r="B99" s="8" t="s">
        <v>534</v>
      </c>
      <c r="C99" s="8" t="s">
        <v>532</v>
      </c>
      <c r="D99" s="8" t="n">
        <v>4</v>
      </c>
      <c r="E99" s="8" t="n">
        <v>6.41</v>
      </c>
      <c r="F99" s="8" t="n">
        <v>6.41</v>
      </c>
      <c r="G99" s="9" t="s">
        <v>476</v>
      </c>
      <c r="H99" s="52"/>
    </row>
    <row r="100" customFormat="false" ht="15" hidden="false" customHeight="true" outlineLevel="0" collapsed="false">
      <c r="A100" s="8" t="s">
        <v>55</v>
      </c>
      <c r="B100" s="8" t="s">
        <v>535</v>
      </c>
      <c r="C100" s="8" t="s">
        <v>536</v>
      </c>
      <c r="D100" s="8" t="n">
        <v>8</v>
      </c>
      <c r="E100" s="8" t="n">
        <v>26.46</v>
      </c>
      <c r="F100" s="8" t="n">
        <v>26.46</v>
      </c>
      <c r="G100" s="10" t="s">
        <v>537</v>
      </c>
      <c r="H100" s="52"/>
    </row>
    <row r="101" customFormat="false" ht="15" hidden="false" customHeight="true" outlineLevel="0" collapsed="false">
      <c r="A101" s="8" t="s">
        <v>175</v>
      </c>
      <c r="B101" s="8" t="s">
        <v>538</v>
      </c>
      <c r="C101" s="8" t="s">
        <v>536</v>
      </c>
      <c r="D101" s="8" t="n">
        <v>8</v>
      </c>
      <c r="E101" s="8" t="n">
        <v>26.46</v>
      </c>
      <c r="F101" s="8" t="n">
        <v>26.46</v>
      </c>
      <c r="G101" s="10" t="s">
        <v>537</v>
      </c>
      <c r="H101" s="52"/>
    </row>
    <row r="102" customFormat="false" ht="15" hidden="false" customHeight="true" outlineLevel="0" collapsed="false">
      <c r="A102" s="8" t="s">
        <v>181</v>
      </c>
      <c r="B102" s="8" t="s">
        <v>539</v>
      </c>
      <c r="C102" s="8" t="s">
        <v>536</v>
      </c>
      <c r="D102" s="8" t="n">
        <v>8</v>
      </c>
      <c r="E102" s="8" t="n">
        <v>26.46</v>
      </c>
      <c r="F102" s="8" t="n">
        <v>26.46</v>
      </c>
      <c r="G102" s="10" t="s">
        <v>537</v>
      </c>
      <c r="H102" s="52"/>
    </row>
    <row r="103" customFormat="false" ht="15" hidden="false" customHeight="true" outlineLevel="0" collapsed="false">
      <c r="A103" s="8" t="s">
        <v>182</v>
      </c>
      <c r="B103" s="8" t="s">
        <v>540</v>
      </c>
      <c r="C103" s="8" t="s">
        <v>536</v>
      </c>
      <c r="D103" s="8" t="n">
        <v>8</v>
      </c>
      <c r="E103" s="8" t="n">
        <v>26.46</v>
      </c>
      <c r="F103" s="8" t="n">
        <v>26.46</v>
      </c>
      <c r="G103" s="10" t="s">
        <v>537</v>
      </c>
      <c r="H103" s="52"/>
    </row>
    <row r="104" customFormat="false" ht="15" hidden="false" customHeight="true" outlineLevel="0" collapsed="false">
      <c r="A104" s="8" t="s">
        <v>172</v>
      </c>
      <c r="B104" s="8" t="s">
        <v>541</v>
      </c>
      <c r="C104" s="8" t="s">
        <v>542</v>
      </c>
      <c r="D104" s="8" t="n">
        <v>7</v>
      </c>
      <c r="E104" s="8" t="n">
        <v>23.52</v>
      </c>
      <c r="F104" s="8" t="n">
        <v>23.52</v>
      </c>
      <c r="G104" s="10" t="s">
        <v>537</v>
      </c>
      <c r="H104" s="52"/>
    </row>
    <row r="105" customFormat="false" ht="15" hidden="false" customHeight="true" outlineLevel="0" collapsed="false">
      <c r="A105" s="8" t="s">
        <v>174</v>
      </c>
      <c r="B105" s="8" t="s">
        <v>543</v>
      </c>
      <c r="C105" s="8" t="s">
        <v>542</v>
      </c>
      <c r="D105" s="8" t="n">
        <v>7</v>
      </c>
      <c r="E105" s="8" t="n">
        <v>23.52</v>
      </c>
      <c r="F105" s="8" t="n">
        <v>23.52</v>
      </c>
      <c r="G105" s="10" t="s">
        <v>537</v>
      </c>
      <c r="H105" s="52"/>
    </row>
    <row r="106" customFormat="false" ht="15" hidden="false" customHeight="true" outlineLevel="0" collapsed="false">
      <c r="A106" s="8" t="s">
        <v>54</v>
      </c>
      <c r="B106" s="8" t="s">
        <v>544</v>
      </c>
      <c r="C106" s="8" t="s">
        <v>542</v>
      </c>
      <c r="D106" s="8" t="n">
        <v>7</v>
      </c>
      <c r="E106" s="8" t="n">
        <v>23.52</v>
      </c>
      <c r="F106" s="8" t="n">
        <v>23.52</v>
      </c>
      <c r="G106" s="10" t="s">
        <v>537</v>
      </c>
      <c r="H106" s="52"/>
    </row>
    <row r="107" customFormat="false" ht="15" hidden="false" customHeight="true" outlineLevel="0" collapsed="false">
      <c r="A107" s="8" t="s">
        <v>62</v>
      </c>
      <c r="B107" s="8" t="s">
        <v>545</v>
      </c>
      <c r="C107" s="8" t="s">
        <v>542</v>
      </c>
      <c r="D107" s="8" t="n">
        <v>7</v>
      </c>
      <c r="E107" s="8" t="n">
        <v>23.52</v>
      </c>
      <c r="F107" s="8" t="n">
        <v>23.52</v>
      </c>
      <c r="G107" s="10" t="s">
        <v>537</v>
      </c>
      <c r="H107" s="52"/>
    </row>
    <row r="108" customFormat="false" ht="15" hidden="false" customHeight="true" outlineLevel="0" collapsed="false">
      <c r="A108" s="8" t="s">
        <v>59</v>
      </c>
      <c r="B108" s="8" t="s">
        <v>546</v>
      </c>
      <c r="C108" s="8" t="s">
        <v>542</v>
      </c>
      <c r="D108" s="8" t="n">
        <v>7</v>
      </c>
      <c r="E108" s="8" t="n">
        <v>23.52</v>
      </c>
      <c r="F108" s="8" t="n">
        <v>23.52</v>
      </c>
      <c r="G108" s="10" t="s">
        <v>537</v>
      </c>
      <c r="H108" s="52"/>
    </row>
    <row r="109" customFormat="false" ht="15" hidden="false" customHeight="true" outlineLevel="0" collapsed="false">
      <c r="A109" s="8" t="s">
        <v>176</v>
      </c>
      <c r="B109" s="8" t="s">
        <v>547</v>
      </c>
      <c r="C109" s="8" t="s">
        <v>542</v>
      </c>
      <c r="D109" s="8" t="n">
        <v>7</v>
      </c>
      <c r="E109" s="8" t="n">
        <v>23.52</v>
      </c>
      <c r="F109" s="8" t="n">
        <v>23.52</v>
      </c>
      <c r="G109" s="10" t="s">
        <v>537</v>
      </c>
      <c r="H109" s="52"/>
    </row>
    <row r="110" customFormat="false" ht="15" hidden="false" customHeight="true" outlineLevel="0" collapsed="false">
      <c r="A110" s="8" t="s">
        <v>177</v>
      </c>
      <c r="B110" s="8" t="s">
        <v>548</v>
      </c>
      <c r="C110" s="8" t="s">
        <v>542</v>
      </c>
      <c r="D110" s="8" t="n">
        <v>7</v>
      </c>
      <c r="E110" s="8" t="n">
        <v>23.52</v>
      </c>
      <c r="F110" s="8" t="n">
        <v>23.52</v>
      </c>
      <c r="G110" s="10" t="s">
        <v>537</v>
      </c>
      <c r="H110" s="52"/>
    </row>
    <row r="111" customFormat="false" ht="15" hidden="false" customHeight="true" outlineLevel="0" collapsed="false">
      <c r="A111" s="8" t="s">
        <v>178</v>
      </c>
      <c r="B111" s="8" t="s">
        <v>549</v>
      </c>
      <c r="C111" s="8" t="s">
        <v>542</v>
      </c>
      <c r="D111" s="8" t="n">
        <v>7</v>
      </c>
      <c r="E111" s="8" t="n">
        <v>23.52</v>
      </c>
      <c r="F111" s="8" t="n">
        <v>23.52</v>
      </c>
      <c r="G111" s="10" t="s">
        <v>537</v>
      </c>
      <c r="H111" s="52"/>
    </row>
    <row r="112" customFormat="false" ht="15" hidden="false" customHeight="true" outlineLevel="0" collapsed="false">
      <c r="A112" s="8" t="s">
        <v>179</v>
      </c>
      <c r="B112" s="8" t="s">
        <v>550</v>
      </c>
      <c r="C112" s="8" t="s">
        <v>542</v>
      </c>
      <c r="D112" s="8" t="n">
        <v>7</v>
      </c>
      <c r="E112" s="8" t="n">
        <v>23.52</v>
      </c>
      <c r="F112" s="8" t="n">
        <v>23.52</v>
      </c>
      <c r="G112" s="10" t="s">
        <v>537</v>
      </c>
      <c r="H112" s="52"/>
    </row>
    <row r="113" customFormat="false" ht="15" hidden="false" customHeight="true" outlineLevel="0" collapsed="false">
      <c r="A113" s="8" t="s">
        <v>61</v>
      </c>
      <c r="B113" s="8" t="s">
        <v>551</v>
      </c>
      <c r="C113" s="8" t="s">
        <v>542</v>
      </c>
      <c r="D113" s="8" t="n">
        <v>7</v>
      </c>
      <c r="E113" s="8" t="n">
        <v>23.52</v>
      </c>
      <c r="F113" s="8" t="n">
        <v>23.52</v>
      </c>
      <c r="G113" s="10" t="s">
        <v>537</v>
      </c>
      <c r="H113" s="52"/>
    </row>
    <row r="114" customFormat="false" ht="15" hidden="false" customHeight="true" outlineLevel="0" collapsed="false">
      <c r="A114" s="8" t="s">
        <v>180</v>
      </c>
      <c r="B114" s="8" t="s">
        <v>552</v>
      </c>
      <c r="C114" s="8" t="s">
        <v>542</v>
      </c>
      <c r="D114" s="8" t="n">
        <v>7</v>
      </c>
      <c r="E114" s="8" t="n">
        <v>23.52</v>
      </c>
      <c r="F114" s="8" t="n">
        <v>23.52</v>
      </c>
      <c r="G114" s="10" t="s">
        <v>537</v>
      </c>
      <c r="H114" s="52"/>
    </row>
    <row r="115" customFormat="false" ht="15" hidden="false" customHeight="true" outlineLevel="0" collapsed="false">
      <c r="A115" s="8" t="s">
        <v>183</v>
      </c>
      <c r="B115" s="8" t="s">
        <v>553</v>
      </c>
      <c r="C115" s="8" t="s">
        <v>542</v>
      </c>
      <c r="D115" s="8" t="n">
        <v>7</v>
      </c>
      <c r="E115" s="8" t="n">
        <v>23.52</v>
      </c>
      <c r="F115" s="8" t="n">
        <v>23.52</v>
      </c>
      <c r="G115" s="10" t="s">
        <v>537</v>
      </c>
      <c r="H115" s="52"/>
    </row>
    <row r="116" customFormat="false" ht="15" hidden="false" customHeight="true" outlineLevel="0" collapsed="false">
      <c r="A116" s="8" t="s">
        <v>184</v>
      </c>
      <c r="B116" s="8" t="s">
        <v>554</v>
      </c>
      <c r="C116" s="8" t="s">
        <v>542</v>
      </c>
      <c r="D116" s="8" t="n">
        <v>7</v>
      </c>
      <c r="E116" s="8" t="n">
        <v>23.52</v>
      </c>
      <c r="F116" s="8" t="n">
        <v>23.52</v>
      </c>
      <c r="G116" s="10" t="s">
        <v>537</v>
      </c>
      <c r="H116" s="52"/>
    </row>
    <row r="117" customFormat="false" ht="15" hidden="false" customHeight="true" outlineLevel="0" collapsed="false">
      <c r="A117" s="8" t="s">
        <v>185</v>
      </c>
      <c r="B117" s="8" t="s">
        <v>555</v>
      </c>
      <c r="C117" s="8" t="s">
        <v>542</v>
      </c>
      <c r="D117" s="8" t="n">
        <v>7</v>
      </c>
      <c r="E117" s="8" t="n">
        <v>23.52</v>
      </c>
      <c r="F117" s="8" t="n">
        <v>23.52</v>
      </c>
      <c r="G117" s="10" t="s">
        <v>537</v>
      </c>
      <c r="H117" s="52"/>
    </row>
    <row r="118" customFormat="false" ht="15" hidden="false" customHeight="true" outlineLevel="0" collapsed="false">
      <c r="A118" s="16"/>
      <c r="B118" s="16"/>
      <c r="C118" s="16"/>
      <c r="D118" s="16"/>
      <c r="E118" s="16"/>
      <c r="F118" s="16"/>
      <c r="G118" s="16"/>
      <c r="H118" s="16"/>
    </row>
    <row r="119" customFormat="false" ht="15" hidden="false" customHeight="true" outlineLevel="0" collapsed="false">
      <c r="A119" s="3" t="s">
        <v>556</v>
      </c>
      <c r="B119" s="16"/>
      <c r="C119" s="16"/>
      <c r="D119" s="16"/>
      <c r="E119" s="16"/>
      <c r="F119" s="16"/>
      <c r="G119" s="16"/>
      <c r="H119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3" t="s">
        <v>557</v>
      </c>
    </row>
    <row r="2" customFormat="false" ht="15" hidden="false" customHeight="true" outlineLevel="0" collapsed="false">
      <c r="A2" s="1" t="s">
        <v>129</v>
      </c>
    </row>
    <row r="3" customFormat="false" ht="15" hidden="false" customHeight="true" outlineLevel="0" collapsed="false">
      <c r="A3" s="1" t="s">
        <v>95</v>
      </c>
    </row>
    <row r="4" customFormat="false" ht="15" hidden="false" customHeight="true" outlineLevel="0" collapsed="false">
      <c r="A4" s="1" t="s">
        <v>99</v>
      </c>
    </row>
    <row r="5" customFormat="false" ht="15" hidden="false" customHeight="true" outlineLevel="0" collapsed="false">
      <c r="A5" s="1" t="s">
        <v>30</v>
      </c>
    </row>
    <row r="6" customFormat="false" ht="15" hidden="false" customHeight="true" outlineLevel="0" collapsed="false">
      <c r="A6" s="1" t="s">
        <v>101</v>
      </c>
    </row>
    <row r="7" customFormat="false" ht="15" hidden="false" customHeight="true" outlineLevel="0" collapsed="false">
      <c r="A7" s="1" t="s">
        <v>103</v>
      </c>
    </row>
    <row r="8" customFormat="false" ht="15" hidden="false" customHeight="true" outlineLevel="0" collapsed="false">
      <c r="A8" s="1" t="s">
        <v>44</v>
      </c>
    </row>
    <row r="9" customFormat="false" ht="15" hidden="false" customHeight="true" outlineLevel="0" collapsed="false">
      <c r="A9" s="1" t="s">
        <v>34</v>
      </c>
    </row>
    <row r="10" customFormat="false" ht="15" hidden="false" customHeight="true" outlineLevel="0" collapsed="false">
      <c r="A10" s="1" t="s">
        <v>104</v>
      </c>
    </row>
    <row r="11" customFormat="false" ht="15" hidden="false" customHeight="true" outlineLevel="0" collapsed="false">
      <c r="A11" s="1" t="s">
        <v>37</v>
      </c>
    </row>
    <row r="12" customFormat="false" ht="15" hidden="false" customHeight="true" outlineLevel="0" collapsed="false">
      <c r="A12" s="1" t="s">
        <v>47</v>
      </c>
    </row>
    <row r="13" customFormat="false" ht="15" hidden="false" customHeight="true" outlineLevel="0" collapsed="false">
      <c r="A13" s="1" t="s">
        <v>48</v>
      </c>
    </row>
    <row r="14" customFormat="false" ht="15" hidden="false" customHeight="true" outlineLevel="0" collapsed="false">
      <c r="A14" s="1" t="s">
        <v>105</v>
      </c>
    </row>
    <row r="15" customFormat="false" ht="15" hidden="false" customHeight="true" outlineLevel="0" collapsed="false">
      <c r="A15" s="1" t="s">
        <v>33</v>
      </c>
    </row>
    <row r="16" customFormat="false" ht="15" hidden="false" customHeight="true" outlineLevel="0" collapsed="false">
      <c r="A16" s="1" t="s">
        <v>45</v>
      </c>
    </row>
    <row r="17" customFormat="false" ht="15" hidden="false" customHeight="true" outlineLevel="0" collapsed="false">
      <c r="A17" s="1" t="s">
        <v>49</v>
      </c>
    </row>
    <row r="18" customFormat="false" ht="15" hidden="false" customHeight="true" outlineLevel="0" collapsed="false">
      <c r="A18" s="1" t="s">
        <v>31</v>
      </c>
    </row>
    <row r="19" customFormat="false" ht="15" hidden="false" customHeight="true" outlineLevel="0" collapsed="false">
      <c r="A19" s="1" t="s">
        <v>106</v>
      </c>
    </row>
    <row r="20" customFormat="false" ht="15" hidden="false" customHeight="true" outlineLevel="0" collapsed="false">
      <c r="A20" s="1" t="s">
        <v>46</v>
      </c>
    </row>
    <row r="21" customFormat="false" ht="15" hidden="false" customHeight="true" outlineLevel="0" collapsed="false">
      <c r="A21" s="1" t="s">
        <v>107</v>
      </c>
    </row>
    <row r="22" customFormat="false" ht="15" hidden="false" customHeight="true" outlineLevel="0" collapsed="false">
      <c r="A22" s="1" t="s">
        <v>108</v>
      </c>
    </row>
    <row r="23" customFormat="false" ht="15" hidden="false" customHeight="true" outlineLevel="0" collapsed="false">
      <c r="A23" s="1" t="s">
        <v>109</v>
      </c>
    </row>
    <row r="24" customFormat="false" ht="15" hidden="false" customHeight="true" outlineLevel="0" collapsed="false">
      <c r="A24" s="1" t="s">
        <v>110</v>
      </c>
    </row>
    <row r="25" customFormat="false" ht="15" hidden="false" customHeight="true" outlineLevel="0" collapsed="false">
      <c r="A25" s="1" t="s">
        <v>111</v>
      </c>
    </row>
    <row r="26" customFormat="false" ht="15" hidden="false" customHeight="true" outlineLevel="0" collapsed="false">
      <c r="A26" s="1" t="s">
        <v>40</v>
      </c>
    </row>
    <row r="27" customFormat="false" ht="15" hidden="false" customHeight="true" outlineLevel="0" collapsed="false">
      <c r="A27" s="1" t="s">
        <v>41</v>
      </c>
    </row>
    <row r="28" customFormat="false" ht="15" hidden="false" customHeight="true" outlineLevel="0" collapsed="false">
      <c r="A28" s="1" t="s">
        <v>39</v>
      </c>
    </row>
    <row r="29" customFormat="false" ht="15" hidden="false" customHeight="true" outlineLevel="0" collapsed="false">
      <c r="A29" s="1" t="s">
        <v>36</v>
      </c>
    </row>
    <row r="30" customFormat="false" ht="15" hidden="false" customHeight="true" outlineLevel="0" collapsed="false">
      <c r="A30" s="1" t="s">
        <v>112</v>
      </c>
    </row>
    <row r="31" customFormat="false" ht="15" hidden="false" customHeight="true" outlineLevel="0" collapsed="false">
      <c r="A31" s="1" t="s">
        <v>113</v>
      </c>
    </row>
    <row r="32" customFormat="false" ht="15" hidden="false" customHeight="true" outlineLevel="0" collapsed="false">
      <c r="A32" s="1" t="s">
        <v>114</v>
      </c>
    </row>
    <row r="33" customFormat="false" ht="15" hidden="false" customHeight="true" outlineLevel="0" collapsed="false">
      <c r="A33" s="1" t="s">
        <v>115</v>
      </c>
    </row>
    <row r="34" customFormat="false" ht="15" hidden="false" customHeight="true" outlineLevel="0" collapsed="false">
      <c r="A34" s="1" t="s">
        <v>116</v>
      </c>
    </row>
    <row r="35" customFormat="false" ht="15" hidden="false" customHeight="true" outlineLevel="0" collapsed="false">
      <c r="A35" s="1" t="s">
        <v>38</v>
      </c>
    </row>
    <row r="36" customFormat="false" ht="15" hidden="false" customHeight="true" outlineLevel="0" collapsed="false">
      <c r="A36" s="1" t="s">
        <v>117</v>
      </c>
    </row>
    <row r="37" customFormat="false" ht="15" hidden="false" customHeight="true" outlineLevel="0" collapsed="false">
      <c r="A37" s="1" t="s">
        <v>131</v>
      </c>
    </row>
    <row r="38" customFormat="false" ht="15" hidden="false" customHeight="true" outlineLevel="0" collapsed="false">
      <c r="A38" s="1" t="s">
        <v>132</v>
      </c>
    </row>
    <row r="39" customFormat="false" ht="15" hidden="false" customHeight="true" outlineLevel="0" collapsed="false">
      <c r="A39" s="1" t="s">
        <v>133</v>
      </c>
    </row>
    <row r="40" customFormat="false" ht="15" hidden="false" customHeight="true" outlineLevel="0" collapsed="false">
      <c r="A40" s="1" t="s">
        <v>134</v>
      </c>
    </row>
    <row r="41" customFormat="false" ht="15" hidden="false" customHeight="true" outlineLevel="0" collapsed="false">
      <c r="A41" s="1" t="s">
        <v>135</v>
      </c>
    </row>
    <row r="42" customFormat="false" ht="15" hidden="false" customHeight="true" outlineLevel="0" collapsed="false">
      <c r="A42" s="1" t="s">
        <v>136</v>
      </c>
    </row>
    <row r="43" customFormat="false" ht="15" hidden="false" customHeight="true" outlineLevel="0" collapsed="false">
      <c r="A43" s="1" t="s">
        <v>137</v>
      </c>
    </row>
    <row r="44" customFormat="false" ht="15" hidden="false" customHeight="true" outlineLevel="0" collapsed="false">
      <c r="A44" s="1" t="s">
        <v>138</v>
      </c>
    </row>
    <row r="45" customFormat="false" ht="15" hidden="false" customHeight="true" outlineLevel="0" collapsed="false">
      <c r="A45" s="1" t="s">
        <v>51</v>
      </c>
    </row>
    <row r="46" customFormat="false" ht="15" hidden="false" customHeight="true" outlineLevel="0" collapsed="false">
      <c r="A46" s="1" t="s">
        <v>139</v>
      </c>
    </row>
    <row r="47" customFormat="false" ht="15" hidden="false" customHeight="true" outlineLevel="0" collapsed="false">
      <c r="A47" s="1" t="s">
        <v>140</v>
      </c>
    </row>
    <row r="48" customFormat="false" ht="15" hidden="false" customHeight="true" outlineLevel="0" collapsed="false">
      <c r="A48" s="1" t="s">
        <v>141</v>
      </c>
    </row>
    <row r="49" customFormat="false" ht="15" hidden="false" customHeight="true" outlineLevel="0" collapsed="false">
      <c r="A49" s="1" t="s">
        <v>142</v>
      </c>
    </row>
    <row r="50" customFormat="false" ht="15" hidden="false" customHeight="true" outlineLevel="0" collapsed="false">
      <c r="A50" s="1" t="s">
        <v>143</v>
      </c>
    </row>
    <row r="51" customFormat="false" ht="15" hidden="false" customHeight="true" outlineLevel="0" collapsed="false">
      <c r="A51" s="1" t="s">
        <v>144</v>
      </c>
    </row>
    <row r="52" customFormat="false" ht="15" hidden="false" customHeight="true" outlineLevel="0" collapsed="false">
      <c r="A52" s="1" t="s">
        <v>145</v>
      </c>
    </row>
    <row r="53" customFormat="false" ht="15" hidden="false" customHeight="true" outlineLevel="0" collapsed="false">
      <c r="A53" s="1" t="s">
        <v>146</v>
      </c>
    </row>
    <row r="54" customFormat="false" ht="15" hidden="false" customHeight="true" outlineLevel="0" collapsed="false">
      <c r="A54" s="1" t="s">
        <v>147</v>
      </c>
    </row>
    <row r="55" customFormat="false" ht="15" hidden="false" customHeight="true" outlineLevel="0" collapsed="false">
      <c r="A55" s="1" t="s">
        <v>148</v>
      </c>
    </row>
    <row r="56" customFormat="false" ht="15" hidden="false" customHeight="true" outlineLevel="0" collapsed="false">
      <c r="A56" s="1" t="s">
        <v>149</v>
      </c>
    </row>
    <row r="57" customFormat="false" ht="15" hidden="false" customHeight="true" outlineLevel="0" collapsed="false">
      <c r="A57" s="1" t="s">
        <v>150</v>
      </c>
    </row>
    <row r="58" customFormat="false" ht="15" hidden="false" customHeight="true" outlineLevel="0" collapsed="false">
      <c r="A58" s="1" t="s">
        <v>151</v>
      </c>
    </row>
    <row r="59" customFormat="false" ht="15" hidden="false" customHeight="true" outlineLevel="0" collapsed="false">
      <c r="A59" s="1" t="s">
        <v>152</v>
      </c>
    </row>
    <row r="60" customFormat="false" ht="15" hidden="false" customHeight="true" outlineLevel="0" collapsed="false">
      <c r="A60" s="1" t="s">
        <v>153</v>
      </c>
    </row>
    <row r="61" customFormat="false" ht="15" hidden="false" customHeight="true" outlineLevel="0" collapsed="false">
      <c r="A61" s="1" t="s">
        <v>172</v>
      </c>
    </row>
    <row r="62" customFormat="false" ht="15" hidden="false" customHeight="true" outlineLevel="0" collapsed="false">
      <c r="A62" s="1" t="s">
        <v>174</v>
      </c>
    </row>
    <row r="63" customFormat="false" ht="15" hidden="false" customHeight="true" outlineLevel="0" collapsed="false">
      <c r="A63" s="1" t="s">
        <v>54</v>
      </c>
    </row>
    <row r="64" customFormat="false" ht="15" hidden="false" customHeight="true" outlineLevel="0" collapsed="false">
      <c r="A64" s="1" t="s">
        <v>62</v>
      </c>
    </row>
    <row r="65" customFormat="false" ht="15" hidden="false" customHeight="true" outlineLevel="0" collapsed="false">
      <c r="A65" s="1" t="s">
        <v>55</v>
      </c>
    </row>
    <row r="66" customFormat="false" ht="15" hidden="false" customHeight="true" outlineLevel="0" collapsed="false">
      <c r="A66" s="1" t="s">
        <v>175</v>
      </c>
    </row>
    <row r="67" customFormat="false" ht="15" hidden="false" customHeight="true" outlineLevel="0" collapsed="false">
      <c r="A67" s="1" t="s">
        <v>118</v>
      </c>
    </row>
    <row r="68" customFormat="false" ht="15" hidden="false" customHeight="true" outlineLevel="0" collapsed="false">
      <c r="A68" s="1" t="s">
        <v>119</v>
      </c>
    </row>
    <row r="69" customFormat="false" ht="15" hidden="false" customHeight="true" outlineLevel="0" collapsed="false">
      <c r="A69" s="1" t="s">
        <v>120</v>
      </c>
    </row>
    <row r="70" customFormat="false" ht="15" hidden="false" customHeight="true" outlineLevel="0" collapsed="false">
      <c r="A70" s="1" t="s">
        <v>121</v>
      </c>
    </row>
    <row r="71" customFormat="false" ht="15" hidden="false" customHeight="true" outlineLevel="0" collapsed="false">
      <c r="A71" s="1" t="s">
        <v>122</v>
      </c>
    </row>
    <row r="72" customFormat="false" ht="15" hidden="false" customHeight="true" outlineLevel="0" collapsed="false">
      <c r="A72" s="1" t="s">
        <v>123</v>
      </c>
    </row>
    <row r="73" customFormat="false" ht="15" hidden="false" customHeight="true" outlineLevel="0" collapsed="false">
      <c r="A73" s="1" t="s">
        <v>154</v>
      </c>
    </row>
    <row r="74" customFormat="false" ht="15" hidden="false" customHeight="true" outlineLevel="0" collapsed="false">
      <c r="A74" s="1" t="s">
        <v>155</v>
      </c>
    </row>
    <row r="75" customFormat="false" ht="15" hidden="false" customHeight="true" outlineLevel="0" collapsed="false">
      <c r="A75" s="1" t="s">
        <v>156</v>
      </c>
    </row>
    <row r="76" customFormat="false" ht="15" hidden="false" customHeight="true" outlineLevel="0" collapsed="false">
      <c r="A76" s="1" t="s">
        <v>52</v>
      </c>
    </row>
    <row r="77" customFormat="false" ht="15" hidden="false" customHeight="true" outlineLevel="0" collapsed="false">
      <c r="A77" s="1" t="s">
        <v>157</v>
      </c>
    </row>
    <row r="78" customFormat="false" ht="15" hidden="false" customHeight="true" outlineLevel="0" collapsed="false">
      <c r="A78" s="1" t="s">
        <v>57</v>
      </c>
    </row>
    <row r="79" customFormat="false" ht="15" hidden="false" customHeight="true" outlineLevel="0" collapsed="false">
      <c r="A79" s="1" t="s">
        <v>56</v>
      </c>
    </row>
    <row r="80" customFormat="false" ht="15" hidden="false" customHeight="true" outlineLevel="0" collapsed="false">
      <c r="A80" s="1" t="s">
        <v>158</v>
      </c>
    </row>
    <row r="81" customFormat="false" ht="15" hidden="false" customHeight="true" outlineLevel="0" collapsed="false">
      <c r="A81" s="1" t="s">
        <v>159</v>
      </c>
    </row>
    <row r="82" customFormat="false" ht="15" hidden="false" customHeight="true" outlineLevel="0" collapsed="false">
      <c r="A82" s="1" t="s">
        <v>58</v>
      </c>
    </row>
    <row r="83" customFormat="false" ht="15" hidden="false" customHeight="true" outlineLevel="0" collapsed="false">
      <c r="A83" s="1" t="s">
        <v>160</v>
      </c>
    </row>
    <row r="84" customFormat="false" ht="15" hidden="false" customHeight="true" outlineLevel="0" collapsed="false">
      <c r="A84" s="1" t="s">
        <v>59</v>
      </c>
    </row>
    <row r="85" customFormat="false" ht="15" hidden="false" customHeight="true" outlineLevel="0" collapsed="false">
      <c r="A85" s="1" t="s">
        <v>176</v>
      </c>
    </row>
    <row r="86" customFormat="false" ht="15" hidden="false" customHeight="true" outlineLevel="0" collapsed="false">
      <c r="A86" s="1" t="s">
        <v>177</v>
      </c>
    </row>
    <row r="87" customFormat="false" ht="15" hidden="false" customHeight="true" outlineLevel="0" collapsed="false">
      <c r="A87" s="1" t="s">
        <v>178</v>
      </c>
    </row>
    <row r="88" customFormat="false" ht="15" hidden="false" customHeight="true" outlineLevel="0" collapsed="false">
      <c r="A88" s="1" t="s">
        <v>179</v>
      </c>
    </row>
    <row r="89" customFormat="false" ht="15" hidden="false" customHeight="true" outlineLevel="0" collapsed="false">
      <c r="A89" s="1" t="s">
        <v>61</v>
      </c>
    </row>
    <row r="90" customFormat="false" ht="15" hidden="false" customHeight="true" outlineLevel="0" collapsed="false">
      <c r="A90" s="1" t="s">
        <v>180</v>
      </c>
    </row>
    <row r="91" customFormat="false" ht="15" hidden="false" customHeight="true" outlineLevel="0" collapsed="false">
      <c r="A91" s="1" t="s">
        <v>181</v>
      </c>
    </row>
    <row r="92" customFormat="false" ht="15" hidden="false" customHeight="true" outlineLevel="0" collapsed="false">
      <c r="A92" s="1" t="s">
        <v>182</v>
      </c>
    </row>
    <row r="93" customFormat="false" ht="15" hidden="false" customHeight="true" outlineLevel="0" collapsed="false">
      <c r="A93" s="1" t="s">
        <v>124</v>
      </c>
    </row>
    <row r="94" customFormat="false" ht="15" hidden="false" customHeight="true" outlineLevel="0" collapsed="false">
      <c r="A94" s="1" t="s">
        <v>161</v>
      </c>
    </row>
    <row r="95" customFormat="false" ht="15" hidden="false" customHeight="true" outlineLevel="0" collapsed="false">
      <c r="A95" s="1" t="s">
        <v>162</v>
      </c>
    </row>
    <row r="96" customFormat="false" ht="15" hidden="false" customHeight="true" outlineLevel="0" collapsed="false">
      <c r="A96" s="1" t="s">
        <v>163</v>
      </c>
    </row>
    <row r="97" customFormat="false" ht="15" hidden="false" customHeight="true" outlineLevel="0" collapsed="false">
      <c r="A97" s="1" t="s">
        <v>164</v>
      </c>
    </row>
    <row r="98" customFormat="false" ht="15" hidden="false" customHeight="true" outlineLevel="0" collapsed="false">
      <c r="A98" s="1" t="s">
        <v>60</v>
      </c>
    </row>
    <row r="99" customFormat="false" ht="15" hidden="false" customHeight="true" outlineLevel="0" collapsed="false">
      <c r="A99" s="1" t="s">
        <v>183</v>
      </c>
    </row>
    <row r="100" customFormat="false" ht="15" hidden="false" customHeight="true" outlineLevel="0" collapsed="false">
      <c r="A100" s="1" t="s">
        <v>165</v>
      </c>
    </row>
    <row r="101" customFormat="false" ht="15" hidden="false" customHeight="true" outlineLevel="0" collapsed="false">
      <c r="A101" s="1" t="s">
        <v>125</v>
      </c>
    </row>
    <row r="102" customFormat="false" ht="15" hidden="false" customHeight="true" outlineLevel="0" collapsed="false">
      <c r="A102" s="1" t="s">
        <v>126</v>
      </c>
    </row>
    <row r="103" customFormat="false" ht="15" hidden="false" customHeight="true" outlineLevel="0" collapsed="false">
      <c r="A103" s="1" t="s">
        <v>127</v>
      </c>
    </row>
    <row r="104" customFormat="false" ht="15" hidden="false" customHeight="true" outlineLevel="0" collapsed="false">
      <c r="A104" s="1" t="s">
        <v>32</v>
      </c>
    </row>
    <row r="105" customFormat="false" ht="15" hidden="false" customHeight="true" outlineLevel="0" collapsed="false">
      <c r="A105" s="1" t="s">
        <v>167</v>
      </c>
    </row>
    <row r="106" customFormat="false" ht="15" hidden="false" customHeight="true" outlineLevel="0" collapsed="false">
      <c r="A106" s="1" t="s">
        <v>168</v>
      </c>
    </row>
    <row r="107" customFormat="false" ht="15" hidden="false" customHeight="true" outlineLevel="0" collapsed="false">
      <c r="A107" s="1" t="s">
        <v>53</v>
      </c>
    </row>
    <row r="108" customFormat="false" ht="15" hidden="false" customHeight="true" outlineLevel="0" collapsed="false">
      <c r="A108" s="1" t="s">
        <v>169</v>
      </c>
    </row>
    <row r="109" customFormat="false" ht="15" hidden="false" customHeight="true" outlineLevel="0" collapsed="false">
      <c r="A109" s="1" t="s">
        <v>184</v>
      </c>
    </row>
    <row r="110" customFormat="false" ht="15" hidden="false" customHeight="true" outlineLevel="0" collapsed="false">
      <c r="A110" s="1" t="s">
        <v>185</v>
      </c>
    </row>
    <row r="111" customFormat="false" ht="15" hidden="false" customHeight="true" outlineLevel="0" collapsed="false">
      <c r="A111" s="1" t="s">
        <v>170</v>
      </c>
    </row>
    <row r="112" customFormat="false" ht="15" hidden="false" customHeight="true" outlineLevel="0" collapsed="false">
      <c r="A112" s="1" t="s">
        <v>171</v>
      </c>
    </row>
    <row r="113" customFormat="false" ht="15" hidden="false" customHeight="true" outlineLevel="0" collapsed="false">
      <c r="A113" s="1" t="s">
        <v>35</v>
      </c>
    </row>
    <row r="114" customFormat="false" ht="15" hidden="false" customHeight="true" outlineLevel="0" collapsed="false">
      <c r="A114" s="1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2026-07-23T20:01:56Z</dcterms:created>
  <dc:creator>openpyxl</dc:creator>
  <dc:description/>
  <dc:language>en-US</dc:language>
  <cp:lastModifiedBy>Usuário do Windows</cp:lastModifiedBy>
  <dcterms:modified xsi:type="dcterms:W3CDTF">2026-09-08T15:42:53Z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